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E7D00442-3144-8C44-AB94-32CCC74D0FEA}" xr6:coauthVersionLast="47" xr6:coauthVersionMax="47" xr10:uidLastSave="{00000000-0000-0000-0000-000000000000}"/>
  <bookViews>
    <workbookView xWindow="0" yWindow="0" windowWidth="33600" windowHeight="21000" tabRatio="500" activeTab="2" xr2:uid="{00000000-000D-0000-FFFF-FFFF00000000}"/>
  </bookViews>
  <sheets>
    <sheet name="SEMANA 1" sheetId="1" r:id="rId1"/>
    <sheet name="SEMANA 1.1" sheetId="2" r:id="rId2"/>
    <sheet name="SEMANA 1.2" sheetId="3" r:id="rId3"/>
  </sheets>
  <definedNames>
    <definedName name="_xlnm.Print_Area" localSheetId="0">'SEMANA 1'!$A$1:$F$36</definedName>
    <definedName name="_xlnm.Print_Area" localSheetId="1">'SEMANA 1.1'!$A$1:$M$39</definedName>
    <definedName name="_xlnm.Print_Area" localSheetId="2">'SEMANA 1.2'!$A$1:$K$104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2" i="3" l="1"/>
  <c r="I42" i="3"/>
  <c r="H42" i="3"/>
  <c r="G42" i="3"/>
  <c r="F42" i="3"/>
  <c r="E42" i="3"/>
  <c r="D42" i="3"/>
  <c r="C42" i="3"/>
  <c r="J14" i="3"/>
  <c r="I14" i="3"/>
  <c r="H14" i="3"/>
  <c r="G14" i="3"/>
  <c r="F14" i="3"/>
  <c r="E14" i="3"/>
  <c r="D14" i="3"/>
  <c r="C14" i="3"/>
  <c r="C15" i="3" s="1"/>
  <c r="L37" i="2"/>
  <c r="L35" i="2"/>
  <c r="L33" i="2"/>
  <c r="L31" i="2"/>
  <c r="L29" i="2"/>
  <c r="L27" i="2"/>
  <c r="K23" i="2"/>
  <c r="J23" i="2"/>
  <c r="I23" i="2"/>
  <c r="H23" i="2"/>
  <c r="G23" i="2"/>
  <c r="F23" i="2"/>
  <c r="E23" i="2"/>
  <c r="L21" i="2"/>
  <c r="L19" i="2"/>
  <c r="L17" i="2"/>
  <c r="L15" i="2"/>
  <c r="L13" i="2"/>
  <c r="L11" i="2"/>
  <c r="L9" i="2"/>
  <c r="L7" i="2"/>
  <c r="J43" i="3" l="1"/>
  <c r="G39" i="2"/>
  <c r="J47" i="3" s="1"/>
  <c r="J48" i="3" s="1"/>
  <c r="L23" i="2"/>
  <c r="L39" i="2" s="1"/>
  <c r="J46" i="3" s="1"/>
  <c r="E47" i="3" s="1"/>
</calcChain>
</file>

<file path=xl/sharedStrings.xml><?xml version="1.0" encoding="utf-8"?>
<sst xmlns="http://schemas.openxmlformats.org/spreadsheetml/2006/main" count="181" uniqueCount="109">
  <si>
    <t>DATOS DEL PROYECTO</t>
  </si>
  <si>
    <t>Reporte N°</t>
  </si>
  <si>
    <t>Rehabilitación, Sustitución y/o Modernización de 526 puentes  de la Línea K Ixtepec, Oax. - C.D Hidalgo, Chiapas y KA  los toros-Puerto  Chiapas referente al Programa  para el Desarrollo del Istmo  de Tehuantepec 2020-2024</t>
  </si>
  <si>
    <t>Proyecto</t>
  </si>
  <si>
    <t>Línea K</t>
  </si>
  <si>
    <t>Ubicación</t>
  </si>
  <si>
    <t>Contratista</t>
  </si>
  <si>
    <t>Periodo</t>
  </si>
  <si>
    <t>RESPONSABLES DE OBRA FI/SOCIO</t>
  </si>
  <si>
    <t>N°</t>
  </si>
  <si>
    <t>NOMBRE</t>
  </si>
  <si>
    <t>CATEGORÍA</t>
  </si>
  <si>
    <t>Guzmán Aguirre Asaf</t>
  </si>
  <si>
    <t xml:space="preserve">Superintendente </t>
  </si>
  <si>
    <t>Mendoza Mercado Jorge Antonio</t>
  </si>
  <si>
    <t>Gerente De Obra</t>
  </si>
  <si>
    <t>Barba Mirales Jhonny</t>
  </si>
  <si>
    <t>Residente de Obra</t>
  </si>
  <si>
    <t>RESPONSABLES DE OBRA CONTRATISTA</t>
  </si>
  <si>
    <t xml:space="preserve"> </t>
  </si>
  <si>
    <t>PERSONAL AREA DE SEGURIDAD FI/SOCIO</t>
  </si>
  <si>
    <t xml:space="preserve">Jiménez Morales Osvaldo </t>
  </si>
  <si>
    <t xml:space="preserve">Coordinador de Seguridad </t>
  </si>
  <si>
    <t>PERSONAL AREA DE SEGURIDAD CONTRATISTA</t>
  </si>
  <si>
    <t>1.     FUERZA DE TRABAJO</t>
  </si>
  <si>
    <t>TURNO ORDINARIO</t>
  </si>
  <si>
    <t>Frente</t>
  </si>
  <si>
    <t>Lunes</t>
  </si>
  <si>
    <t>Martes</t>
  </si>
  <si>
    <t>Miércoles</t>
  </si>
  <si>
    <t>Jueves</t>
  </si>
  <si>
    <t>Viernes</t>
  </si>
  <si>
    <t>Sábado</t>
  </si>
  <si>
    <t>Domingo</t>
  </si>
  <si>
    <t>Total HHT Semana</t>
  </si>
  <si>
    <t>N° Hr</t>
  </si>
  <si>
    <t>N° Personal</t>
  </si>
  <si>
    <t>N/A</t>
  </si>
  <si>
    <t>TOTAL</t>
  </si>
  <si>
    <t>TIEMPO EXTRA</t>
  </si>
  <si>
    <t>FRENTE</t>
  </si>
  <si>
    <t>Gran total de fuerza de Trabajo</t>
  </si>
  <si>
    <t>Gran total Horas Hombre Trabajadas</t>
  </si>
  <si>
    <t>2. DESVIACIÓN AL SISTEMA DE GESTIÓN DE SEGURIDAD E HIGIENE</t>
  </si>
  <si>
    <t>Indice Semanal</t>
  </si>
  <si>
    <t xml:space="preserve">Condiciones Inseguras / R. Preventivo
</t>
  </si>
  <si>
    <t>Actos Inseguros / RVR</t>
  </si>
  <si>
    <t>Acuerdo y Seguimiento</t>
  </si>
  <si>
    <t>Paros de Actividad</t>
  </si>
  <si>
    <t>Guía de Inspecciones SGS</t>
  </si>
  <si>
    <t>Atención Medica</t>
  </si>
  <si>
    <t>Accidente SMO</t>
  </si>
  <si>
    <t>Accidente IMSS</t>
  </si>
  <si>
    <t>Total de Desviaciones</t>
  </si>
  <si>
    <t>3. DESGLOSE DE DESVIACIONES DE GESTION DE SEGURIDAD E HIGIENE</t>
  </si>
  <si>
    <t xml:space="preserve">Tipo de Desviación </t>
  </si>
  <si>
    <t>Generada por</t>
  </si>
  <si>
    <t>Descripción de la Desviación</t>
  </si>
  <si>
    <t>Acción Inmediata</t>
  </si>
  <si>
    <t>Fecha de Plazo</t>
  </si>
  <si>
    <t xml:space="preserve">TABLA DE TIPO DE DESVIACIÓN </t>
  </si>
  <si>
    <t>TABLA DE TIPO DE QUIEN GENERA LA DESVIACION</t>
  </si>
  <si>
    <t>1.- Condición Insegura / R. Preventivo</t>
  </si>
  <si>
    <t>1.- Gerencia de Construcción</t>
  </si>
  <si>
    <t>2.- Acto inseguro / R. Violación al reglamento</t>
  </si>
  <si>
    <t>2.- Superintendencia</t>
  </si>
  <si>
    <t>3.- Acuerdo y Seguimiento</t>
  </si>
  <si>
    <t>3.- Supervisor Jefe de Obra o de Frente</t>
  </si>
  <si>
    <t>4.- Paros de Actividad</t>
  </si>
  <si>
    <t>4.- Técnico Administrativo</t>
  </si>
  <si>
    <t>5.- Guía de Inspección</t>
  </si>
  <si>
    <t>5.- Visitas y Proveedores</t>
  </si>
  <si>
    <t>6.- Atención Medica</t>
  </si>
  <si>
    <t>6.- Supervisión de Seguridad</t>
  </si>
  <si>
    <t>7.- Accidente SMO</t>
  </si>
  <si>
    <t>7.- Encargado y/o capataz</t>
  </si>
  <si>
    <t>8.- Accidente IMSS</t>
  </si>
  <si>
    <t>8.- Personal Operativo (Sobrestante, etc).</t>
  </si>
  <si>
    <t>4. CUMPLIMIENTO AL SISTEMA DE GESTIÓN DE SEGURIDAD E HIGIENE</t>
  </si>
  <si>
    <t>Indice semanal</t>
  </si>
  <si>
    <t>Capacitación personal  nuevo Ingreso</t>
  </si>
  <si>
    <t>Calendario de Platicas 10 min.</t>
  </si>
  <si>
    <r>
      <rPr>
        <b/>
        <sz val="10"/>
        <rFont val="Arial"/>
        <family val="2"/>
        <charset val="1"/>
      </rPr>
      <t>Calendario de 5 min.</t>
    </r>
    <r>
      <rPr>
        <b/>
        <sz val="10"/>
        <color theme="0"/>
        <rFont val="Arial"/>
        <family val="2"/>
        <charset val="1"/>
      </rPr>
      <t xml:space="preserve"> Salud Laboral</t>
    </r>
  </si>
  <si>
    <t>Programa de Inspección</t>
  </si>
  <si>
    <t>Capacitación de la comisión de seguridad e Higiene y brigadas de Emergencias</t>
  </si>
  <si>
    <r>
      <rPr>
        <b/>
        <sz val="10"/>
        <rFont val="Arial"/>
        <family val="2"/>
        <charset val="1"/>
      </rPr>
      <t xml:space="preserve">Programa de Capacitación </t>
    </r>
    <r>
      <rPr>
        <b/>
        <sz val="10"/>
        <color theme="0"/>
        <rFont val="Arial"/>
        <family val="2"/>
        <charset val="1"/>
      </rPr>
      <t>Otorgada</t>
    </r>
  </si>
  <si>
    <r>
      <rPr>
        <b/>
        <sz val="10"/>
        <rFont val="Arial"/>
        <family val="2"/>
        <charset val="1"/>
      </rPr>
      <t xml:space="preserve">Programa de Capacitación </t>
    </r>
    <r>
      <rPr>
        <b/>
        <sz val="10"/>
        <color theme="0"/>
        <rFont val="Arial"/>
        <family val="2"/>
        <charset val="1"/>
      </rPr>
      <t>Recibida</t>
    </r>
  </si>
  <si>
    <t>Acciones de Mejora</t>
  </si>
  <si>
    <t>Total de Cumplimientos</t>
  </si>
  <si>
    <t>5.  INDICADORES</t>
  </si>
  <si>
    <t xml:space="preserve">Horas Hombre Semana Anterior </t>
  </si>
  <si>
    <t>Horas Hombre Semana Actual</t>
  </si>
  <si>
    <t>Horas Hombre Totales</t>
  </si>
  <si>
    <t>Fuerza de trabajo Total</t>
  </si>
  <si>
    <t>Nº Supervisores</t>
  </si>
  <si>
    <t>H.H Capacitación Platicas 5 min.</t>
  </si>
  <si>
    <t>Bajas por Rotación</t>
  </si>
  <si>
    <t>Bajas por Cero Tolerancia</t>
  </si>
  <si>
    <t xml:space="preserve">Pruebas Antidoping </t>
  </si>
  <si>
    <t>Negativa</t>
  </si>
  <si>
    <t xml:space="preserve">Sanciones </t>
  </si>
  <si>
    <t>Positiva</t>
  </si>
  <si>
    <t>Intolerable</t>
  </si>
  <si>
    <t>6. REPORTE FOTOGRÁFICO DE CONDICIONES CUMPLIMIENTO POR ÁREAS DE TRABAJO Y ACTIVIDADES</t>
  </si>
  <si>
    <t>MENDOZA MERCADO JORGE ANTONIO</t>
  </si>
  <si>
    <t>JIMÉNEZ MORALES OSVALDO</t>
  </si>
  <si>
    <t>Supervisor de Seguridad</t>
  </si>
  <si>
    <t>Residente Contrata</t>
  </si>
  <si>
    <t xml:space="preserve">Gerente de Producción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</si>
</sst>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Times New Roman"/>
      <charset val="204"/>
    </font>
    <font>
      <b/>
      <sz val="10"/>
      <color rgb="FFFFFFFF"/>
      <name val="Arial"/>
      <family val="2"/>
      <charset val="1"/>
    </font>
    <font>
      <b/>
      <sz val="9.5"/>
      <name val="Tahoma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b/>
      <sz val="11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8"/>
      <name val="Tahoma"/>
      <family val="2"/>
      <charset val="1"/>
    </font>
    <font>
      <b/>
      <sz val="12"/>
      <name val="Corbel"/>
      <family val="2"/>
      <charset val="1"/>
    </font>
    <font>
      <b/>
      <sz val="12"/>
      <color theme="0"/>
      <name val="Arial"/>
      <family val="2"/>
      <charset val="1"/>
    </font>
    <font>
      <b/>
      <sz val="6.5"/>
      <color rgb="FF000000"/>
      <name val="Tahoma"/>
      <family val="2"/>
      <charset val="1"/>
    </font>
    <font>
      <b/>
      <sz val="10"/>
      <color theme="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rgb="FF000000"/>
      <name val="Aris"/>
      <charset val="1"/>
    </font>
    <font>
      <b/>
      <sz val="10"/>
      <color rgb="FF000000"/>
      <name val="Times New Roman"/>
      <family val="1"/>
      <charset val="1"/>
    </font>
    <font>
      <b/>
      <sz val="14"/>
      <name val="Arial"/>
      <family val="2"/>
      <charset val="1"/>
    </font>
    <font>
      <sz val="14"/>
      <name val="Arial"/>
      <family val="2"/>
      <charset val="1"/>
    </font>
    <font>
      <sz val="14"/>
      <color rgb="FF000000"/>
      <name val="Arial"/>
      <family val="2"/>
      <charset val="1"/>
    </font>
    <font>
      <b/>
      <sz val="14"/>
      <color rgb="FF00B05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4"/>
      <color rgb="FFC00000"/>
      <name val="Arial"/>
      <family val="2"/>
      <charset val="1"/>
    </font>
    <font>
      <sz val="9.5"/>
      <name val="Verdana"/>
      <family val="2"/>
      <charset val="1"/>
    </font>
    <font>
      <sz val="12"/>
      <name val="Arial"/>
      <family val="2"/>
      <charset val="1"/>
    </font>
    <font>
      <sz val="11"/>
      <name val="Arial"/>
      <family val="2"/>
    </font>
    <font>
      <sz val="11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FFFFFE"/>
      </patternFill>
    </fill>
    <fill>
      <patternFill patternType="solid">
        <fgColor rgb="FFC00000"/>
        <bgColor rgb="FF800000"/>
      </patternFill>
    </fill>
    <fill>
      <patternFill patternType="solid">
        <fgColor rgb="FFA6A6A6"/>
        <bgColor rgb="FFACB8C9"/>
      </patternFill>
    </fill>
    <fill>
      <patternFill patternType="solid">
        <fgColor rgb="FFF4AF83"/>
        <bgColor rgb="FFFAC090"/>
      </patternFill>
    </fill>
    <fill>
      <patternFill patternType="solid">
        <fgColor rgb="FFACB8C9"/>
        <bgColor rgb="FFBEBEBE"/>
      </patternFill>
    </fill>
    <fill>
      <patternFill patternType="solid">
        <fgColor rgb="FFA8D08D"/>
        <bgColor rgb="FF92D050"/>
      </patternFill>
    </fill>
    <fill>
      <patternFill patternType="solid">
        <fgColor theme="0" tint="-0.14999847407452621"/>
        <bgColor rgb="FFF1DBDB"/>
      </patternFill>
    </fill>
    <fill>
      <patternFill patternType="solid">
        <fgColor theme="9" tint="0.39988402966399123"/>
        <bgColor rgb="FFF4AF83"/>
      </patternFill>
    </fill>
    <fill>
      <patternFill patternType="solid">
        <fgColor theme="4" tint="0.39988402966399123"/>
        <bgColor rgb="FFACB8C9"/>
      </patternFill>
    </fill>
    <fill>
      <patternFill patternType="solid">
        <fgColor rgb="FF92D050"/>
        <bgColor rgb="FFA8D08D"/>
      </patternFill>
    </fill>
    <fill>
      <patternFill patternType="solid">
        <fgColor rgb="FFF1DBDB"/>
        <bgColor rgb="FFD9D9D9"/>
      </patternFill>
    </fill>
    <fill>
      <patternFill patternType="solid">
        <fgColor theme="0" tint="-0.249977111117893"/>
        <bgColor rgb="FFBEBEBE"/>
      </patternFill>
    </fill>
    <fill>
      <patternFill patternType="solid">
        <fgColor rgb="FFFFFF00"/>
        <bgColor rgb="FFFFFF00"/>
      </patternFill>
    </fill>
    <fill>
      <patternFill patternType="solid">
        <fgColor rgb="FFBEBEBE"/>
        <bgColor rgb="FFBFBFBF"/>
      </patternFill>
    </fill>
    <fill>
      <patternFill patternType="solid">
        <fgColor theme="1" tint="0.49989318521683401"/>
        <bgColor rgb="FF666699"/>
      </patternFill>
    </fill>
    <fill>
      <patternFill patternType="solid">
        <fgColor rgb="FF00B050"/>
        <bgColor rgb="FF00808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1" fontId="13" fillId="11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1" fontId="11" fillId="1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5" fillId="0" borderId="0" xfId="0" applyFont="1" applyAlignment="1">
      <alignment vertical="top" wrapText="1"/>
    </xf>
    <xf numFmtId="0" fontId="14" fillId="0" borderId="0" xfId="0" applyFont="1" applyAlignment="1">
      <alignment horizontal="right" vertical="center" wrapText="1" indent="2"/>
    </xf>
    <xf numFmtId="0" fontId="14" fillId="0" borderId="0" xfId="0" applyFont="1" applyAlignment="1">
      <alignment horizontal="left" vertical="center" wrapText="1" inden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left" vertical="top" wrapText="1" indent="15"/>
    </xf>
    <xf numFmtId="0" fontId="11" fillId="11" borderId="11" xfId="0" applyFont="1" applyFill="1" applyBorder="1" applyAlignment="1">
      <alignment horizontal="left" vertical="center" wrapText="1" indent="1"/>
    </xf>
    <xf numFmtId="0" fontId="5" fillId="6" borderId="11" xfId="0" applyFont="1" applyFill="1" applyBorder="1" applyAlignment="1">
      <alignment horizontal="center" vertical="top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" fontId="6" fillId="0" borderId="13" xfId="0" applyNumberFormat="1" applyFont="1" applyBorder="1" applyAlignment="1">
      <alignment horizontal="center" vertical="center" shrinkToFit="1"/>
    </xf>
    <xf numFmtId="1" fontId="3" fillId="0" borderId="13" xfId="0" applyNumberFormat="1" applyFont="1" applyBorder="1" applyAlignment="1">
      <alignment horizontal="center" vertical="center" shrinkToFit="1"/>
    </xf>
    <xf numFmtId="1" fontId="3" fillId="0" borderId="14" xfId="0" applyNumberFormat="1" applyFont="1" applyBorder="1" applyAlignment="1">
      <alignment horizontal="center" vertical="center" shrinkToFit="1"/>
    </xf>
    <xf numFmtId="1" fontId="17" fillId="0" borderId="0" xfId="0" applyNumberFormat="1" applyFont="1" applyAlignment="1">
      <alignment horizontal="center" vertical="top" shrinkToFit="1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3" fillId="13" borderId="19" xfId="0" applyFont="1" applyFill="1" applyBorder="1" applyAlignment="1">
      <alignment horizontal="left" vertical="center" wrapText="1"/>
    </xf>
    <xf numFmtId="0" fontId="18" fillId="3" borderId="19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left" vertical="center" wrapText="1"/>
    </xf>
    <xf numFmtId="0" fontId="5" fillId="15" borderId="20" xfId="0" applyFont="1" applyFill="1" applyBorder="1" applyAlignment="1">
      <alignment vertical="top" wrapText="1"/>
    </xf>
    <xf numFmtId="0" fontId="5" fillId="15" borderId="21" xfId="0" applyFont="1" applyFill="1" applyBorder="1" applyAlignment="1">
      <alignment vertical="top" wrapText="1"/>
    </xf>
    <xf numFmtId="0" fontId="0" fillId="0" borderId="2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5" fillId="11" borderId="32" xfId="0" applyFont="1" applyFill="1" applyBorder="1" applyAlignment="1">
      <alignment horizontal="left" vertical="center" wrapText="1"/>
    </xf>
    <xf numFmtId="0" fontId="5" fillId="11" borderId="33" xfId="0" applyFont="1" applyFill="1" applyBorder="1" applyAlignment="1">
      <alignment horizontal="left" vertical="center" wrapText="1"/>
    </xf>
    <xf numFmtId="0" fontId="5" fillId="11" borderId="34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left" vertical="center" wrapText="1"/>
    </xf>
    <xf numFmtId="0" fontId="21" fillId="17" borderId="36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1" fontId="23" fillId="0" borderId="1" xfId="0" applyNumberFormat="1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shrinkToFit="1"/>
    </xf>
    <xf numFmtId="0" fontId="30" fillId="0" borderId="37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vertical="center" wrapText="1"/>
    </xf>
    <xf numFmtId="0" fontId="3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30" fillId="0" borderId="5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top" wrapText="1"/>
    </xf>
    <xf numFmtId="0" fontId="11" fillId="5" borderId="7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28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5" fillId="14" borderId="3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6" fillId="16" borderId="19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15" borderId="20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E007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CB8C9"/>
      <rgbColor rgb="FF993366"/>
      <rgbColor rgb="FFFFFFFE"/>
      <rgbColor rgb="FFA8D08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1DBDB"/>
      <rgbColor rgb="FFFFFF99"/>
      <rgbColor rgb="FF95B3D7"/>
      <rgbColor rgb="FFF4AF83"/>
      <rgbColor rgb="FFBEBEBE"/>
      <rgbColor rgb="FFFAC090"/>
      <rgbColor rgb="FF3366FF"/>
      <rgbColor rgb="FF33CCCC"/>
      <rgbColor rgb="FF92D05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461520</xdr:colOff>
      <xdr:row>0</xdr:row>
      <xdr:rowOff>124560</xdr:rowOff>
    </xdr:from>
    <xdr:to>
      <xdr:col>4</xdr:col>
      <xdr:colOff>2104559</xdr:colOff>
      <xdr:row>4</xdr:row>
      <xdr:rowOff>1800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81320" y="124560"/>
          <a:ext cx="5537520" cy="524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297307</xdr:colOff>
      <xdr:row>32</xdr:row>
      <xdr:rowOff>26027</xdr:rowOff>
    </xdr:from>
    <xdr:to>
      <xdr:col>4</xdr:col>
      <xdr:colOff>3820626</xdr:colOff>
      <xdr:row>34</xdr:row>
      <xdr:rowOff>84258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8620" y="6487152"/>
          <a:ext cx="8309632" cy="359856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225000</xdr:colOff>
      <xdr:row>0</xdr:row>
      <xdr:rowOff>155880</xdr:rowOff>
    </xdr:from>
    <xdr:to>
      <xdr:col>10</xdr:col>
      <xdr:colOff>136080</xdr:colOff>
      <xdr:row>2</xdr:row>
      <xdr:rowOff>133200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08040" y="155880"/>
          <a:ext cx="6323760" cy="5677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4</xdr:col>
      <xdr:colOff>104400</xdr:colOff>
      <xdr:row>28</xdr:row>
      <xdr:rowOff>36720</xdr:rowOff>
    </xdr:from>
    <xdr:to>
      <xdr:col>10</xdr:col>
      <xdr:colOff>1359000</xdr:colOff>
      <xdr:row>37</xdr:row>
      <xdr:rowOff>82800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4140000" y="6721200"/>
          <a:ext cx="6715080" cy="1980360"/>
        </a:xfrm>
        <a:prstGeom prst="straightConnector1">
          <a:avLst/>
        </a:prstGeom>
        <a:ln w="38100">
          <a:solidFill>
            <a:srgbClr val="4F81BD"/>
          </a:solidFill>
          <a:round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391680</xdr:colOff>
      <xdr:row>0</xdr:row>
      <xdr:rowOff>190440</xdr:rowOff>
    </xdr:from>
    <xdr:to>
      <xdr:col>7</xdr:col>
      <xdr:colOff>672120</xdr:colOff>
      <xdr:row>2</xdr:row>
      <xdr:rowOff>290880</xdr:rowOff>
    </xdr:to>
    <xdr:pic>
      <xdr:nvPicPr>
        <xdr:cNvPr id="9" name="Imagen 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4000" y="190440"/>
          <a:ext cx="7807680" cy="5576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</xdr:col>
      <xdr:colOff>3600</xdr:colOff>
      <xdr:row>18</xdr:row>
      <xdr:rowOff>28800</xdr:rowOff>
    </xdr:from>
    <xdr:to>
      <xdr:col>9</xdr:col>
      <xdr:colOff>1067400</xdr:colOff>
      <xdr:row>20</xdr:row>
      <xdr:rowOff>239040</xdr:rowOff>
    </xdr:to>
    <xdr:cxnSp macro="">
      <xdr:nvCxnSpPr>
        <xdr:cNvPr id="10" name="Conector recto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475920" y="4159440"/>
          <a:ext cx="10792440" cy="810720"/>
        </a:xfrm>
        <a:prstGeom prst="straightConnector1">
          <a:avLst/>
        </a:prstGeom>
        <a:ln w="38100">
          <a:solidFill>
            <a:srgbClr val="4F81BD"/>
          </a:solidFill>
          <a:round/>
        </a:ln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2"/>
  <sheetViews>
    <sheetView view="pageBreakPreview" topLeftCell="A2" zoomScale="160" zoomScaleNormal="100" zoomScaleSheetLayoutView="160" zoomScalePageLayoutView="180" workbookViewId="0">
      <selection activeCell="F32" sqref="F32"/>
    </sheetView>
  </sheetViews>
  <sheetFormatPr baseColWidth="10" defaultColWidth="9.3984375" defaultRowHeight="12.75" customHeight="1"/>
  <cols>
    <col min="1" max="1" width="10" customWidth="1"/>
    <col min="2" max="2" width="14" customWidth="1"/>
    <col min="3" max="3" width="11.3984375" customWidth="1"/>
    <col min="4" max="4" width="50" customWidth="1"/>
    <col min="5" max="5" width="69.3984375" customWidth="1"/>
    <col min="6" max="6" width="10" customWidth="1"/>
  </cols>
  <sheetData>
    <row r="1" spans="2:5" ht="13">
      <c r="B1" s="3"/>
      <c r="C1" s="3"/>
      <c r="D1" s="3"/>
      <c r="E1" s="3"/>
    </row>
    <row r="2" spans="2:5" ht="13">
      <c r="B2" s="3"/>
      <c r="C2" s="3"/>
      <c r="D2" s="3"/>
      <c r="E2" s="3"/>
    </row>
    <row r="3" spans="2:5" ht="13">
      <c r="B3" s="3"/>
      <c r="C3" s="3"/>
      <c r="D3" s="3"/>
      <c r="E3" s="3"/>
    </row>
    <row r="4" spans="2:5" ht="13">
      <c r="B4" s="3"/>
      <c r="C4" s="3"/>
      <c r="D4" s="3"/>
      <c r="E4" s="3"/>
    </row>
    <row r="7" spans="2:5" ht="15.75" customHeight="1">
      <c r="B7" s="132" t="s">
        <v>0</v>
      </c>
      <c r="C7" s="132"/>
      <c r="D7" s="132"/>
      <c r="E7" s="132"/>
    </row>
    <row r="8" spans="2:5" ht="34.5" customHeight="1">
      <c r="B8" s="4" t="s">
        <v>1</v>
      </c>
      <c r="C8" s="5"/>
      <c r="D8" s="141" t="s">
        <v>2</v>
      </c>
      <c r="E8" s="141"/>
    </row>
    <row r="9" spans="2:5" ht="15.75" customHeight="1">
      <c r="B9" s="138" t="s">
        <v>3</v>
      </c>
      <c r="C9" s="138"/>
      <c r="D9" s="6" t="s">
        <v>4</v>
      </c>
      <c r="E9" s="7"/>
    </row>
    <row r="10" spans="2:5" ht="13.5" customHeight="1">
      <c r="B10" s="138" t="s">
        <v>5</v>
      </c>
      <c r="C10" s="138"/>
      <c r="D10" s="139"/>
      <c r="E10" s="139"/>
    </row>
    <row r="11" spans="2:5" ht="15.75" customHeight="1">
      <c r="B11" s="138" t="s">
        <v>6</v>
      </c>
      <c r="C11" s="138"/>
      <c r="D11" s="139"/>
      <c r="E11" s="139"/>
    </row>
    <row r="12" spans="2:5" ht="15.75" customHeight="1">
      <c r="B12" s="138" t="s">
        <v>7</v>
      </c>
      <c r="C12" s="138"/>
      <c r="D12" s="140"/>
      <c r="E12" s="140"/>
    </row>
    <row r="13" spans="2:5" ht="18.75" customHeight="1">
      <c r="B13" s="132" t="s">
        <v>8</v>
      </c>
      <c r="C13" s="132"/>
      <c r="D13" s="132"/>
      <c r="E13" s="132"/>
    </row>
    <row r="14" spans="2:5" ht="16.5" customHeight="1">
      <c r="B14" s="8" t="s">
        <v>9</v>
      </c>
      <c r="C14" s="133" t="s">
        <v>10</v>
      </c>
      <c r="D14" s="133"/>
      <c r="E14" s="9" t="s">
        <v>11</v>
      </c>
    </row>
    <row r="15" spans="2:5" ht="18" customHeight="1">
      <c r="B15" s="10">
        <v>1</v>
      </c>
      <c r="C15" s="136" t="s">
        <v>12</v>
      </c>
      <c r="D15" s="136"/>
      <c r="E15" s="11" t="s">
        <v>13</v>
      </c>
    </row>
    <row r="16" spans="2:5" ht="20.25" customHeight="1">
      <c r="B16" s="10">
        <v>2</v>
      </c>
      <c r="C16" s="137" t="s">
        <v>14</v>
      </c>
      <c r="D16" s="137"/>
      <c r="E16" s="11" t="s">
        <v>15</v>
      </c>
    </row>
    <row r="17" spans="2:8" ht="18" customHeight="1">
      <c r="B17" s="10">
        <v>3</v>
      </c>
      <c r="C17" s="135" t="s">
        <v>16</v>
      </c>
      <c r="D17" s="135"/>
      <c r="E17" s="11" t="s">
        <v>17</v>
      </c>
    </row>
    <row r="18" spans="2:8" ht="18" customHeight="1">
      <c r="B18" s="132" t="s">
        <v>18</v>
      </c>
      <c r="C18" s="132"/>
      <c r="D18" s="132"/>
      <c r="E18" s="132"/>
      <c r="H18" s="12" t="s">
        <v>19</v>
      </c>
    </row>
    <row r="19" spans="2:8" ht="18" customHeight="1">
      <c r="B19" s="8" t="s">
        <v>9</v>
      </c>
      <c r="C19" s="133" t="s">
        <v>10</v>
      </c>
      <c r="D19" s="133"/>
      <c r="E19" s="9" t="s">
        <v>11</v>
      </c>
    </row>
    <row r="20" spans="2:8" ht="18" customHeight="1">
      <c r="B20" s="123">
        <v>1</v>
      </c>
      <c r="C20" s="129"/>
      <c r="D20" s="124"/>
      <c r="E20" s="125"/>
    </row>
    <row r="21" spans="2:8" ht="18" customHeight="1">
      <c r="B21" s="123">
        <v>2</v>
      </c>
      <c r="C21" s="129"/>
      <c r="D21" s="124"/>
      <c r="E21" s="125"/>
    </row>
    <row r="22" spans="2:8" ht="18" customHeight="1">
      <c r="B22" s="123">
        <v>3</v>
      </c>
      <c r="C22" s="130"/>
      <c r="D22" s="126"/>
      <c r="E22" s="127"/>
    </row>
    <row r="23" spans="2:8" ht="17.25" customHeight="1">
      <c r="B23" s="132" t="s">
        <v>20</v>
      </c>
      <c r="C23" s="134"/>
      <c r="D23" s="134"/>
      <c r="E23" s="132"/>
    </row>
    <row r="24" spans="2:8" ht="17.25" customHeight="1">
      <c r="B24" s="8" t="s">
        <v>9</v>
      </c>
      <c r="C24" s="133" t="s">
        <v>10</v>
      </c>
      <c r="D24" s="133"/>
      <c r="E24" s="9" t="s">
        <v>11</v>
      </c>
    </row>
    <row r="25" spans="2:8" ht="18" customHeight="1">
      <c r="B25" s="10">
        <v>1</v>
      </c>
      <c r="C25" s="135" t="s">
        <v>21</v>
      </c>
      <c r="D25" s="135"/>
      <c r="E25" s="13" t="s">
        <v>22</v>
      </c>
    </row>
    <row r="26" spans="2:8" ht="12.75" customHeight="1">
      <c r="B26" s="132" t="s">
        <v>23</v>
      </c>
      <c r="C26" s="132"/>
      <c r="D26" s="132"/>
      <c r="E26" s="132"/>
    </row>
    <row r="27" spans="2:8" ht="12.75" customHeight="1">
      <c r="B27" s="8" t="s">
        <v>9</v>
      </c>
      <c r="C27" s="133" t="s">
        <v>10</v>
      </c>
      <c r="D27" s="133"/>
      <c r="E27" s="9" t="s">
        <v>11</v>
      </c>
    </row>
    <row r="28" spans="2:8" ht="14.25" customHeight="1">
      <c r="B28" s="123">
        <v>1</v>
      </c>
      <c r="C28" s="131"/>
      <c r="D28" s="128"/>
      <c r="E28" s="11"/>
    </row>
    <row r="29" spans="2:8" ht="14.25" customHeight="1">
      <c r="B29" s="123">
        <v>2</v>
      </c>
      <c r="C29" s="131"/>
      <c r="D29" s="128"/>
      <c r="E29" s="11"/>
    </row>
    <row r="30" spans="2:8" ht="14.25" customHeight="1">
      <c r="B30" s="123">
        <v>3</v>
      </c>
      <c r="C30" s="131"/>
      <c r="D30" s="128"/>
      <c r="E30" s="11"/>
    </row>
    <row r="31" spans="2:8" ht="14.25" customHeight="1">
      <c r="B31" s="123">
        <v>4</v>
      </c>
      <c r="C31" s="131"/>
      <c r="D31" s="128"/>
      <c r="E31" s="11"/>
    </row>
    <row r="32" spans="2:8" ht="14.25" customHeight="1">
      <c r="B32" s="123">
        <v>5</v>
      </c>
      <c r="C32" s="131"/>
      <c r="D32" s="128"/>
      <c r="E32" s="11"/>
    </row>
  </sheetData>
  <mergeCells count="21">
    <mergeCell ref="B7:E7"/>
    <mergeCell ref="D8:E8"/>
    <mergeCell ref="B9:C9"/>
    <mergeCell ref="B10:C10"/>
    <mergeCell ref="D10:E10"/>
    <mergeCell ref="B11:C11"/>
    <mergeCell ref="D11:E11"/>
    <mergeCell ref="B12:C12"/>
    <mergeCell ref="D12:E12"/>
    <mergeCell ref="B13:E13"/>
    <mergeCell ref="C14:D14"/>
    <mergeCell ref="C15:D15"/>
    <mergeCell ref="C16:D16"/>
    <mergeCell ref="C17:D17"/>
    <mergeCell ref="B18:E18"/>
    <mergeCell ref="B26:E26"/>
    <mergeCell ref="C27:D27"/>
    <mergeCell ref="C19:D19"/>
    <mergeCell ref="B23:E23"/>
    <mergeCell ref="C24:D24"/>
    <mergeCell ref="C25:D25"/>
  </mergeCells>
  <printOptions horizontalCentered="1"/>
  <pageMargins left="0.59027777777777801" right="0.59027777777777801" top="0.74791666666666701" bottom="0.35416666666666702" header="0.511811023622047" footer="0.511811023622047"/>
  <pageSetup paperSize="9" scale="91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9"/>
  <sheetViews>
    <sheetView view="pageBreakPreview" topLeftCell="A2" zoomScale="150" zoomScaleNormal="100" zoomScalePageLayoutView="180" workbookViewId="0">
      <selection activeCell="M27" sqref="M27"/>
    </sheetView>
  </sheetViews>
  <sheetFormatPr baseColWidth="10" defaultColWidth="9.3984375" defaultRowHeight="12.75" customHeight="1"/>
  <cols>
    <col min="1" max="1" width="10" style="14" customWidth="1"/>
    <col min="2" max="2" width="21.19921875" style="14" customWidth="1"/>
    <col min="3" max="3" width="18.3984375" style="14" customWidth="1"/>
    <col min="4" max="4" width="15" style="14" customWidth="1"/>
    <col min="5" max="5" width="13.796875" style="14" customWidth="1"/>
    <col min="6" max="6" width="16.59765625" style="14" customWidth="1"/>
    <col min="7" max="7" width="13.19921875" style="14" customWidth="1"/>
    <col min="8" max="8" width="14.3984375" style="14" customWidth="1"/>
    <col min="9" max="10" width="14" style="14" customWidth="1"/>
    <col min="11" max="11" width="24.3984375" style="14" customWidth="1"/>
    <col min="12" max="12" width="13.3984375" style="14" customWidth="1"/>
    <col min="13" max="13" width="10" style="14" customWidth="1"/>
    <col min="14" max="14" width="17" style="14" customWidth="1"/>
    <col min="15" max="16384" width="9.3984375" style="14"/>
  </cols>
  <sheetData>
    <row r="1" spans="2:15" ht="23.25" customHeight="1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2:15" ht="23.25" customHeight="1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2:15" ht="20.25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2:15" ht="17.25" customHeight="1">
      <c r="B4" s="151" t="s">
        <v>24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6"/>
      <c r="N4" s="16"/>
      <c r="O4" s="16"/>
    </row>
    <row r="5" spans="2:15" ht="18" customHeight="1">
      <c r="B5" s="152" t="s">
        <v>25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7"/>
      <c r="N5" s="17"/>
      <c r="O5" s="17"/>
    </row>
    <row r="6" spans="2:15" ht="30" customHeight="1">
      <c r="B6" s="153" t="s">
        <v>26</v>
      </c>
      <c r="C6" s="153"/>
      <c r="D6" s="153"/>
      <c r="E6" s="18" t="s">
        <v>27</v>
      </c>
      <c r="F6" s="18" t="s">
        <v>28</v>
      </c>
      <c r="G6" s="18" t="s">
        <v>29</v>
      </c>
      <c r="H6" s="19" t="s">
        <v>30</v>
      </c>
      <c r="I6" s="18" t="s">
        <v>31</v>
      </c>
      <c r="J6" s="19" t="s">
        <v>32</v>
      </c>
      <c r="K6" s="19" t="s">
        <v>33</v>
      </c>
      <c r="L6" s="20" t="s">
        <v>34</v>
      </c>
    </row>
    <row r="7" spans="2:15" ht="18.75" customHeight="1">
      <c r="B7" s="135" t="s">
        <v>37</v>
      </c>
      <c r="C7" s="135"/>
      <c r="D7" s="21" t="s">
        <v>35</v>
      </c>
      <c r="E7" s="22">
        <v>0</v>
      </c>
      <c r="F7" s="22">
        <v>0</v>
      </c>
      <c r="G7" s="22">
        <v>0</v>
      </c>
      <c r="H7" s="23">
        <v>0</v>
      </c>
      <c r="I7" s="22">
        <v>0</v>
      </c>
      <c r="J7" s="23">
        <v>0</v>
      </c>
      <c r="K7" s="23">
        <v>0</v>
      </c>
      <c r="L7" s="147">
        <f>SUM(E8:I8)*10+(J8*J7)</f>
        <v>0</v>
      </c>
    </row>
    <row r="8" spans="2:15" ht="18.75" customHeight="1">
      <c r="B8" s="135"/>
      <c r="C8" s="135"/>
      <c r="D8" s="24" t="s">
        <v>36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5">
        <v>0</v>
      </c>
      <c r="L8" s="147"/>
    </row>
    <row r="9" spans="2:15" ht="18" customHeight="1">
      <c r="B9" s="135" t="s">
        <v>37</v>
      </c>
      <c r="C9" s="135"/>
      <c r="D9" s="21" t="s">
        <v>35</v>
      </c>
      <c r="E9" s="22">
        <v>0</v>
      </c>
      <c r="F9" s="22">
        <v>0</v>
      </c>
      <c r="G9" s="22">
        <v>0</v>
      </c>
      <c r="H9" s="23">
        <v>0</v>
      </c>
      <c r="I9" s="22">
        <v>0</v>
      </c>
      <c r="J9" s="23">
        <v>0</v>
      </c>
      <c r="K9" s="23">
        <v>0</v>
      </c>
      <c r="L9" s="147">
        <f>SUM(E10:I10)*10+(J10*J9)</f>
        <v>0</v>
      </c>
    </row>
    <row r="10" spans="2:15" ht="18" customHeight="1">
      <c r="B10" s="135"/>
      <c r="C10" s="135"/>
      <c r="D10" s="24" t="s">
        <v>36</v>
      </c>
      <c r="E10" s="2">
        <v>0</v>
      </c>
      <c r="F10" s="2">
        <v>0</v>
      </c>
      <c r="G10" s="2">
        <v>0</v>
      </c>
      <c r="H10" s="25">
        <v>0</v>
      </c>
      <c r="I10" s="2">
        <v>0</v>
      </c>
      <c r="J10" s="25">
        <v>0</v>
      </c>
      <c r="K10" s="25">
        <v>0</v>
      </c>
      <c r="L10" s="147"/>
    </row>
    <row r="11" spans="2:15" ht="17.25" customHeight="1">
      <c r="B11" s="135" t="s">
        <v>37</v>
      </c>
      <c r="C11" s="135"/>
      <c r="D11" s="21" t="s">
        <v>35</v>
      </c>
      <c r="E11" s="22">
        <v>0</v>
      </c>
      <c r="F11" s="22">
        <v>0</v>
      </c>
      <c r="G11" s="22">
        <v>0</v>
      </c>
      <c r="H11" s="23">
        <v>0</v>
      </c>
      <c r="I11" s="22">
        <v>0</v>
      </c>
      <c r="J11" s="23">
        <v>0</v>
      </c>
      <c r="K11" s="23">
        <v>0</v>
      </c>
      <c r="L11" s="147">
        <f>SUM(E12:I12)*10+(J12*J11)</f>
        <v>0</v>
      </c>
    </row>
    <row r="12" spans="2:15" ht="17.25" customHeight="1">
      <c r="B12" s="135"/>
      <c r="C12" s="135"/>
      <c r="D12" s="24" t="s">
        <v>36</v>
      </c>
      <c r="E12" s="2">
        <v>0</v>
      </c>
      <c r="F12" s="2">
        <v>0</v>
      </c>
      <c r="G12" s="2">
        <v>0</v>
      </c>
      <c r="H12" s="25">
        <v>0</v>
      </c>
      <c r="I12" s="2">
        <v>0</v>
      </c>
      <c r="J12" s="25">
        <v>0</v>
      </c>
      <c r="K12" s="25">
        <v>0</v>
      </c>
      <c r="L12" s="147"/>
    </row>
    <row r="13" spans="2:15" ht="18" customHeight="1">
      <c r="B13" s="135" t="s">
        <v>37</v>
      </c>
      <c r="C13" s="135"/>
      <c r="D13" s="21" t="s">
        <v>35</v>
      </c>
      <c r="E13" s="22">
        <v>0</v>
      </c>
      <c r="F13" s="22">
        <v>0</v>
      </c>
      <c r="G13" s="22">
        <v>0</v>
      </c>
      <c r="H13" s="23">
        <v>0</v>
      </c>
      <c r="I13" s="22">
        <v>0</v>
      </c>
      <c r="J13" s="23">
        <v>0</v>
      </c>
      <c r="K13" s="23">
        <v>0</v>
      </c>
      <c r="L13" s="147">
        <f>SUM(E14:I14)*10+(J14*J13)</f>
        <v>0</v>
      </c>
    </row>
    <row r="14" spans="2:15" ht="18" customHeight="1">
      <c r="B14" s="135"/>
      <c r="C14" s="135"/>
      <c r="D14" s="24" t="s">
        <v>36</v>
      </c>
      <c r="E14" s="2">
        <v>0</v>
      </c>
      <c r="F14" s="2">
        <v>0</v>
      </c>
      <c r="G14" s="2">
        <v>0</v>
      </c>
      <c r="H14" s="25">
        <v>0</v>
      </c>
      <c r="I14" s="2">
        <v>0</v>
      </c>
      <c r="J14" s="25">
        <v>0</v>
      </c>
      <c r="K14" s="25">
        <v>0</v>
      </c>
      <c r="L14" s="147"/>
    </row>
    <row r="15" spans="2:15" ht="17.25" customHeight="1">
      <c r="B15" s="135" t="s">
        <v>37</v>
      </c>
      <c r="C15" s="135"/>
      <c r="D15" s="21" t="s">
        <v>35</v>
      </c>
      <c r="E15" s="22">
        <v>0</v>
      </c>
      <c r="F15" s="22">
        <v>0</v>
      </c>
      <c r="G15" s="22">
        <v>0</v>
      </c>
      <c r="H15" s="23">
        <v>0</v>
      </c>
      <c r="I15" s="22">
        <v>0</v>
      </c>
      <c r="J15" s="23">
        <v>0</v>
      </c>
      <c r="K15" s="23">
        <v>0</v>
      </c>
      <c r="L15" s="147">
        <f>SUM(E16:I16)*10+(J16*J15)</f>
        <v>0</v>
      </c>
    </row>
    <row r="16" spans="2:15" ht="17.25" customHeight="1">
      <c r="B16" s="135"/>
      <c r="C16" s="135"/>
      <c r="D16" s="24" t="s">
        <v>36</v>
      </c>
      <c r="E16" s="2">
        <v>0</v>
      </c>
      <c r="F16" s="2">
        <v>0</v>
      </c>
      <c r="G16" s="2">
        <v>0</v>
      </c>
      <c r="H16" s="25">
        <v>0</v>
      </c>
      <c r="I16" s="2">
        <v>0</v>
      </c>
      <c r="J16" s="25">
        <v>0</v>
      </c>
      <c r="K16" s="25">
        <v>0</v>
      </c>
      <c r="L16" s="147"/>
    </row>
    <row r="17" spans="2:15" ht="17.25" customHeight="1">
      <c r="B17" s="135" t="s">
        <v>37</v>
      </c>
      <c r="C17" s="135"/>
      <c r="D17" s="21" t="s">
        <v>35</v>
      </c>
      <c r="E17" s="22">
        <v>0</v>
      </c>
      <c r="F17" s="22">
        <v>0</v>
      </c>
      <c r="G17" s="22">
        <v>0</v>
      </c>
      <c r="H17" s="23">
        <v>0</v>
      </c>
      <c r="I17" s="22">
        <v>0</v>
      </c>
      <c r="J17" s="23">
        <v>0</v>
      </c>
      <c r="K17" s="23">
        <v>0</v>
      </c>
      <c r="L17" s="147">
        <f>SUM(E18:I18)*10+(J18*J17)</f>
        <v>0</v>
      </c>
    </row>
    <row r="18" spans="2:15" ht="17.25" customHeight="1">
      <c r="B18" s="135"/>
      <c r="C18" s="135"/>
      <c r="D18" s="24" t="s">
        <v>36</v>
      </c>
      <c r="E18" s="2">
        <v>0</v>
      </c>
      <c r="F18" s="2">
        <v>0</v>
      </c>
      <c r="G18" s="2">
        <v>0</v>
      </c>
      <c r="H18" s="25">
        <v>0</v>
      </c>
      <c r="I18" s="2">
        <v>0</v>
      </c>
      <c r="J18" s="25">
        <v>0</v>
      </c>
      <c r="K18" s="25">
        <v>0</v>
      </c>
      <c r="L18" s="147"/>
    </row>
    <row r="19" spans="2:15" ht="18" customHeight="1">
      <c r="B19" s="135" t="s">
        <v>37</v>
      </c>
      <c r="C19" s="135"/>
      <c r="D19" s="21" t="s">
        <v>35</v>
      </c>
      <c r="E19" s="22">
        <v>0</v>
      </c>
      <c r="F19" s="22">
        <v>0</v>
      </c>
      <c r="G19" s="22">
        <v>0</v>
      </c>
      <c r="H19" s="23">
        <v>0</v>
      </c>
      <c r="I19" s="22">
        <v>0</v>
      </c>
      <c r="J19" s="23">
        <v>0</v>
      </c>
      <c r="K19" s="23">
        <v>0</v>
      </c>
      <c r="L19" s="147">
        <f>SUM(E20:I20)*10+(J20*J19)</f>
        <v>0</v>
      </c>
    </row>
    <row r="20" spans="2:15" ht="18" customHeight="1">
      <c r="B20" s="135"/>
      <c r="C20" s="135"/>
      <c r="D20" s="24" t="s">
        <v>36</v>
      </c>
      <c r="E20" s="2">
        <v>0</v>
      </c>
      <c r="F20" s="2">
        <v>0</v>
      </c>
      <c r="G20" s="2">
        <v>0</v>
      </c>
      <c r="H20" s="25">
        <v>0</v>
      </c>
      <c r="I20" s="2">
        <v>0</v>
      </c>
      <c r="J20" s="25">
        <v>0</v>
      </c>
      <c r="K20" s="25">
        <v>0</v>
      </c>
      <c r="L20" s="147"/>
    </row>
    <row r="21" spans="2:15" ht="17.25" customHeight="1">
      <c r="B21" s="135" t="s">
        <v>37</v>
      </c>
      <c r="C21" s="135"/>
      <c r="D21" s="21" t="s">
        <v>35</v>
      </c>
      <c r="E21" s="22">
        <v>0</v>
      </c>
      <c r="F21" s="22">
        <v>0</v>
      </c>
      <c r="G21" s="22">
        <v>0</v>
      </c>
      <c r="H21" s="23">
        <v>0</v>
      </c>
      <c r="I21" s="22">
        <v>0</v>
      </c>
      <c r="J21" s="23">
        <v>0</v>
      </c>
      <c r="K21" s="23">
        <v>0</v>
      </c>
      <c r="L21" s="147">
        <f>SUM(E22:I22)*10+(J22*J21)</f>
        <v>0</v>
      </c>
    </row>
    <row r="22" spans="2:15" ht="17.25" customHeight="1">
      <c r="B22" s="135"/>
      <c r="C22" s="135"/>
      <c r="D22" s="24" t="s">
        <v>36</v>
      </c>
      <c r="E22" s="2">
        <v>0</v>
      </c>
      <c r="F22" s="2">
        <v>0</v>
      </c>
      <c r="G22" s="2">
        <v>0</v>
      </c>
      <c r="H22" s="25">
        <v>0</v>
      </c>
      <c r="I22" s="2">
        <v>0</v>
      </c>
      <c r="J22" s="25">
        <v>0</v>
      </c>
      <c r="K22" s="25">
        <v>0</v>
      </c>
      <c r="L22" s="147"/>
    </row>
    <row r="23" spans="2:15" ht="18" customHeight="1">
      <c r="B23" s="148" t="s">
        <v>38</v>
      </c>
      <c r="C23" s="148"/>
      <c r="D23" s="148"/>
      <c r="E23" s="26">
        <f t="shared" ref="E23:K23" si="0">SUM(E8,E10,E12,E14,E16,E18,E20,E22)</f>
        <v>0</v>
      </c>
      <c r="F23" s="26">
        <f t="shared" si="0"/>
        <v>0</v>
      </c>
      <c r="G23" s="26">
        <f t="shared" si="0"/>
        <v>0</v>
      </c>
      <c r="H23" s="26">
        <f t="shared" si="0"/>
        <v>0</v>
      </c>
      <c r="I23" s="26">
        <f t="shared" si="0"/>
        <v>0</v>
      </c>
      <c r="J23" s="26">
        <f t="shared" si="0"/>
        <v>0</v>
      </c>
      <c r="K23" s="26">
        <f t="shared" si="0"/>
        <v>0</v>
      </c>
      <c r="L23" s="27">
        <f>SUM(L7:L22)</f>
        <v>0</v>
      </c>
    </row>
    <row r="24" spans="2:15" ht="16.5" customHeight="1"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2:15" ht="15" customHeight="1">
      <c r="B25" s="149" t="s">
        <v>39</v>
      </c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29"/>
      <c r="N25" s="29"/>
      <c r="O25" s="29"/>
    </row>
    <row r="26" spans="2:15" ht="26.75" customHeight="1">
      <c r="B26" s="150" t="s">
        <v>40</v>
      </c>
      <c r="C26" s="150"/>
      <c r="D26" s="30"/>
      <c r="E26" s="18" t="s">
        <v>27</v>
      </c>
      <c r="F26" s="18" t="s">
        <v>28</v>
      </c>
      <c r="G26" s="31" t="s">
        <v>29</v>
      </c>
      <c r="H26" s="32" t="s">
        <v>30</v>
      </c>
      <c r="I26" s="33" t="s">
        <v>31</v>
      </c>
      <c r="J26" s="18" t="s">
        <v>32</v>
      </c>
      <c r="K26" s="18" t="s">
        <v>33</v>
      </c>
      <c r="L26" s="20" t="s">
        <v>34</v>
      </c>
      <c r="M26" s="34"/>
      <c r="N26" s="35"/>
      <c r="O26" s="36"/>
    </row>
    <row r="27" spans="2:15" ht="17.25" customHeight="1">
      <c r="B27" s="146" t="s">
        <v>37</v>
      </c>
      <c r="C27" s="146"/>
      <c r="D27" s="24" t="s">
        <v>35</v>
      </c>
      <c r="E27" s="37">
        <v>0</v>
      </c>
      <c r="F27" s="38">
        <v>0</v>
      </c>
      <c r="G27" s="38">
        <v>0</v>
      </c>
      <c r="H27" s="39">
        <v>0</v>
      </c>
      <c r="I27" s="38">
        <v>0</v>
      </c>
      <c r="J27" s="38">
        <v>0</v>
      </c>
      <c r="K27" s="40"/>
      <c r="L27" s="145">
        <f>(E27*E28)+(F27*F28)+(G27*G28)+(H27*H28)+(I27*I28)+(J27*J28)+(K27*K28)</f>
        <v>0</v>
      </c>
      <c r="M27" s="41"/>
      <c r="N27" s="42"/>
      <c r="O27" s="42"/>
    </row>
    <row r="28" spans="2:15" ht="17.25" customHeight="1">
      <c r="B28" s="146"/>
      <c r="C28" s="146"/>
      <c r="D28" s="24" t="s">
        <v>36</v>
      </c>
      <c r="E28" s="2">
        <v>0</v>
      </c>
      <c r="F28" s="2">
        <v>0</v>
      </c>
      <c r="G28" s="2">
        <v>0</v>
      </c>
      <c r="H28" s="25">
        <v>0</v>
      </c>
      <c r="I28" s="2">
        <v>0</v>
      </c>
      <c r="J28" s="25">
        <v>0</v>
      </c>
      <c r="K28" s="2"/>
      <c r="L28" s="145"/>
      <c r="M28" s="41"/>
      <c r="N28" s="42"/>
      <c r="O28" s="42"/>
    </row>
    <row r="29" spans="2:15" ht="17.25" customHeight="1">
      <c r="B29" s="146" t="s">
        <v>37</v>
      </c>
      <c r="C29" s="146"/>
      <c r="D29" s="24" t="s">
        <v>35</v>
      </c>
      <c r="E29" s="43"/>
      <c r="F29" s="2"/>
      <c r="G29" s="2"/>
      <c r="H29" s="2"/>
      <c r="I29" s="2"/>
      <c r="J29" s="2"/>
      <c r="K29" s="2"/>
      <c r="L29" s="145">
        <f>(E29*E30)+(F29*F30)+(G29*G30)+(H29*H30)+(I29*I30)+(J29*J30)+(K29*K30)</f>
        <v>0</v>
      </c>
      <c r="M29" s="41"/>
      <c r="N29" s="42"/>
      <c r="O29" s="42"/>
    </row>
    <row r="30" spans="2:15" ht="16.5" customHeight="1">
      <c r="B30" s="146"/>
      <c r="C30" s="146"/>
      <c r="D30" s="24" t="s">
        <v>36</v>
      </c>
      <c r="E30" s="1"/>
      <c r="F30" s="44"/>
      <c r="G30" s="45"/>
      <c r="H30" s="45"/>
      <c r="I30" s="46"/>
      <c r="J30" s="46"/>
      <c r="K30" s="46"/>
      <c r="L30" s="145"/>
      <c r="M30" s="41"/>
      <c r="O30" s="42"/>
    </row>
    <row r="31" spans="2:15" ht="16.5" customHeight="1">
      <c r="B31" s="146" t="s">
        <v>37</v>
      </c>
      <c r="C31" s="146"/>
      <c r="D31" s="24" t="s">
        <v>35</v>
      </c>
      <c r="E31" s="45"/>
      <c r="F31" s="44"/>
      <c r="G31" s="1"/>
      <c r="H31" s="1"/>
      <c r="I31" s="24"/>
      <c r="J31" s="24"/>
      <c r="K31" s="24"/>
      <c r="L31" s="145">
        <f>(E31*E32)+(F31*F32)+(G31*G32)+(H31*H32)+(I31*I32)+(J31*J32)+(K31*K32)</f>
        <v>0</v>
      </c>
      <c r="M31" s="41"/>
      <c r="O31" s="42"/>
    </row>
    <row r="32" spans="2:15" ht="17.25" customHeight="1">
      <c r="B32" s="146"/>
      <c r="C32" s="146"/>
      <c r="D32" s="24" t="s">
        <v>36</v>
      </c>
      <c r="E32" s="45"/>
      <c r="F32" s="44"/>
      <c r="G32" s="1"/>
      <c r="H32" s="1"/>
      <c r="I32" s="24"/>
      <c r="J32" s="24"/>
      <c r="K32" s="24"/>
      <c r="L32" s="145"/>
      <c r="M32" s="41"/>
      <c r="N32" s="42"/>
      <c r="O32" s="42"/>
    </row>
    <row r="33" spans="2:15" ht="17.25" customHeight="1">
      <c r="B33" s="144" t="s">
        <v>37</v>
      </c>
      <c r="C33" s="144"/>
      <c r="D33" s="24" t="s">
        <v>35</v>
      </c>
      <c r="E33" s="45"/>
      <c r="F33" s="44"/>
      <c r="G33" s="1"/>
      <c r="H33" s="1"/>
      <c r="I33" s="24"/>
      <c r="J33" s="24"/>
      <c r="K33" s="24"/>
      <c r="L33" s="145">
        <f>(E33*E34)+(F33*F34)+(G33*G34)+(H33*H34)+(I33*I34)+(J33*J34)+(K33*K34)</f>
        <v>0</v>
      </c>
      <c r="M33" s="41"/>
      <c r="N33" s="42"/>
      <c r="O33" s="42"/>
    </row>
    <row r="34" spans="2:15" ht="16.5" customHeight="1">
      <c r="B34" s="144"/>
      <c r="C34" s="144"/>
      <c r="D34" s="48" t="s">
        <v>36</v>
      </c>
      <c r="E34" s="49"/>
      <c r="F34" s="47"/>
      <c r="G34" s="49"/>
      <c r="H34" s="1"/>
      <c r="I34" s="24"/>
      <c r="J34" s="24"/>
      <c r="K34" s="24"/>
      <c r="L34" s="145"/>
      <c r="M34" s="41"/>
      <c r="O34" s="42"/>
    </row>
    <row r="35" spans="2:15" ht="17.25" customHeight="1">
      <c r="B35" s="144" t="s">
        <v>37</v>
      </c>
      <c r="C35" s="144"/>
      <c r="D35" s="24" t="s">
        <v>35</v>
      </c>
      <c r="E35" s="45"/>
      <c r="F35" s="44"/>
      <c r="G35" s="1"/>
      <c r="H35" s="1"/>
      <c r="I35" s="24"/>
      <c r="J35" s="24"/>
      <c r="K35" s="24"/>
      <c r="L35" s="145">
        <f>(E35*E36)+(F35*F36)+(G35*G36)+(H35*H36)+(I35*I36)+(J35*J36)+(K35*K36)</f>
        <v>0</v>
      </c>
      <c r="M35" s="41"/>
      <c r="N35" s="42"/>
      <c r="O35" s="42"/>
    </row>
    <row r="36" spans="2:15" ht="16.5" customHeight="1">
      <c r="B36" s="144"/>
      <c r="C36" s="144"/>
      <c r="D36" s="48" t="s">
        <v>36</v>
      </c>
      <c r="E36" s="49"/>
      <c r="F36" s="47"/>
      <c r="G36" s="49"/>
      <c r="H36" s="1"/>
      <c r="I36" s="24"/>
      <c r="J36" s="24"/>
      <c r="K36" s="24"/>
      <c r="L36" s="145"/>
      <c r="M36" s="41"/>
      <c r="O36" s="42"/>
    </row>
    <row r="37" spans="2:15" ht="17.25" customHeight="1">
      <c r="B37" s="144" t="s">
        <v>37</v>
      </c>
      <c r="C37" s="144"/>
      <c r="D37" s="24" t="s">
        <v>35</v>
      </c>
      <c r="E37" s="45"/>
      <c r="F37" s="44"/>
      <c r="G37" s="1"/>
      <c r="H37" s="1"/>
      <c r="I37" s="24"/>
      <c r="J37" s="24"/>
      <c r="K37" s="24"/>
      <c r="L37" s="145">
        <f>(E37*E38)+(F37*F38)+(G37*G38)+(H37*H38)+(I37*I38)+(J37*J38)+(K37*K38)</f>
        <v>0</v>
      </c>
      <c r="M37" s="41"/>
      <c r="N37" s="42"/>
      <c r="O37" s="42"/>
    </row>
    <row r="38" spans="2:15" ht="16.5" customHeight="1">
      <c r="B38" s="144"/>
      <c r="C38" s="144"/>
      <c r="D38" s="48" t="s">
        <v>36</v>
      </c>
      <c r="E38" s="49"/>
      <c r="F38" s="47"/>
      <c r="G38" s="49"/>
      <c r="H38" s="1"/>
      <c r="I38" s="24"/>
      <c r="J38" s="24"/>
      <c r="K38" s="24"/>
      <c r="L38" s="145"/>
      <c r="M38" s="41"/>
      <c r="O38" s="42"/>
    </row>
    <row r="39" spans="2:15" ht="22.5" customHeight="1">
      <c r="B39" s="142" t="s">
        <v>41</v>
      </c>
      <c r="C39" s="142"/>
      <c r="D39" s="142"/>
      <c r="E39" s="142"/>
      <c r="F39" s="142"/>
      <c r="G39" s="50">
        <f>AVERAGE(E23:J23)</f>
        <v>0</v>
      </c>
      <c r="H39" s="143" t="s">
        <v>42</v>
      </c>
      <c r="I39" s="143"/>
      <c r="J39" s="143"/>
      <c r="K39" s="143"/>
      <c r="L39" s="27">
        <f>L23+L27+L29+L31+L33</f>
        <v>0</v>
      </c>
      <c r="M39" s="51"/>
      <c r="N39" s="51"/>
      <c r="O39" s="51"/>
    </row>
  </sheetData>
  <mergeCells count="36">
    <mergeCell ref="B4:L4"/>
    <mergeCell ref="B5:L5"/>
    <mergeCell ref="B6:D6"/>
    <mergeCell ref="B7:C8"/>
    <mergeCell ref="L7:L8"/>
    <mergeCell ref="B9:C10"/>
    <mergeCell ref="L9:L10"/>
    <mergeCell ref="B11:C12"/>
    <mergeCell ref="L11:L12"/>
    <mergeCell ref="B13:C14"/>
    <mergeCell ref="L13:L14"/>
    <mergeCell ref="B15:C16"/>
    <mergeCell ref="L15:L16"/>
    <mergeCell ref="B17:C18"/>
    <mergeCell ref="L17:L18"/>
    <mergeCell ref="B19:C20"/>
    <mergeCell ref="L19:L20"/>
    <mergeCell ref="B21:C22"/>
    <mergeCell ref="L21:L22"/>
    <mergeCell ref="B23:D23"/>
    <mergeCell ref="B25:L25"/>
    <mergeCell ref="B26:C26"/>
    <mergeCell ref="B27:C28"/>
    <mergeCell ref="L27:L28"/>
    <mergeCell ref="B29:C30"/>
    <mergeCell ref="L29:L30"/>
    <mergeCell ref="B31:C32"/>
    <mergeCell ref="L31:L32"/>
    <mergeCell ref="B39:F39"/>
    <mergeCell ref="H39:K39"/>
    <mergeCell ref="B33:C34"/>
    <mergeCell ref="L33:L34"/>
    <mergeCell ref="B35:C36"/>
    <mergeCell ref="L35:L36"/>
    <mergeCell ref="B37:C38"/>
    <mergeCell ref="L37:L38"/>
  </mergeCells>
  <printOptions horizontalCentered="1"/>
  <pageMargins left="0.59027777777777801" right="0.59027777777777801" top="0.59027777777777801" bottom="0.59027777777777801" header="0.511811023622047" footer="0.511811023622047"/>
  <pageSetup paperSize="9" scale="7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105"/>
  <sheetViews>
    <sheetView tabSelected="1" view="pageBreakPreview" topLeftCell="A54" zoomScale="107" zoomScaleNormal="100" zoomScalePageLayoutView="180" workbookViewId="0">
      <selection activeCell="E76" sqref="E76"/>
    </sheetView>
  </sheetViews>
  <sheetFormatPr baseColWidth="10" defaultColWidth="9.3984375" defaultRowHeight="12.75" customHeight="1"/>
  <cols>
    <col min="1" max="1" width="7.3984375" customWidth="1"/>
    <col min="2" max="2" width="22.3984375" customWidth="1"/>
    <col min="3" max="3" width="21.59765625" customWidth="1"/>
    <col min="4" max="4" width="20.59765625" customWidth="1"/>
    <col min="5" max="5" width="17.796875" customWidth="1"/>
    <col min="6" max="6" width="17.3984375" customWidth="1"/>
    <col min="7" max="7" width="18.796875" customWidth="1"/>
    <col min="8" max="9" width="17.3984375" customWidth="1"/>
    <col min="10" max="10" width="17.796875" customWidth="1"/>
    <col min="11" max="11" width="4.19921875" customWidth="1"/>
    <col min="12" max="12" width="11.3984375" customWidth="1"/>
    <col min="13" max="13" width="10.59765625" customWidth="1"/>
    <col min="14" max="14" width="21.796875" customWidth="1"/>
  </cols>
  <sheetData>
    <row r="1" spans="2:15" ht="18" customHeight="1">
      <c r="B1" s="29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2:15" ht="18" customHeight="1">
      <c r="B2" s="29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2:15" ht="44.25" customHeight="1">
      <c r="B3" s="53"/>
      <c r="C3" s="53"/>
      <c r="D3" s="54"/>
      <c r="E3" s="34"/>
      <c r="F3" s="34"/>
      <c r="G3" s="35"/>
      <c r="H3" s="34"/>
      <c r="I3" s="34"/>
      <c r="J3" s="34"/>
      <c r="K3" s="34"/>
      <c r="L3" s="35"/>
      <c r="M3" s="36"/>
    </row>
    <row r="4" spans="2:15" ht="22.5" customHeight="1">
      <c r="B4" s="178" t="s">
        <v>43</v>
      </c>
      <c r="C4" s="178"/>
      <c r="D4" s="178"/>
      <c r="E4" s="178"/>
      <c r="F4" s="178"/>
      <c r="G4" s="178"/>
      <c r="H4" s="178"/>
      <c r="I4" s="178"/>
      <c r="J4" s="178"/>
      <c r="K4" s="55"/>
      <c r="L4" s="55"/>
      <c r="M4" s="55"/>
      <c r="N4" s="55"/>
    </row>
    <row r="5" spans="2:15" ht="12" customHeight="1"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6" spans="2:15" ht="56">
      <c r="B6" s="57" t="s">
        <v>44</v>
      </c>
      <c r="C6" s="58" t="s">
        <v>45</v>
      </c>
      <c r="D6" s="59" t="s">
        <v>46</v>
      </c>
      <c r="E6" s="59" t="s">
        <v>47</v>
      </c>
      <c r="F6" s="59" t="s">
        <v>48</v>
      </c>
      <c r="G6" s="59" t="s">
        <v>49</v>
      </c>
      <c r="H6" s="59" t="s">
        <v>50</v>
      </c>
      <c r="I6" s="59" t="s">
        <v>51</v>
      </c>
      <c r="J6" s="60" t="s">
        <v>52</v>
      </c>
      <c r="K6" s="61"/>
      <c r="L6" s="61"/>
      <c r="M6" s="61"/>
      <c r="N6" s="61"/>
    </row>
    <row r="7" spans="2:15" ht="14">
      <c r="B7" s="62" t="s">
        <v>33</v>
      </c>
      <c r="C7" s="63">
        <v>0</v>
      </c>
      <c r="D7" s="63">
        <v>0</v>
      </c>
      <c r="E7" s="63">
        <v>0</v>
      </c>
      <c r="F7" s="63">
        <v>0</v>
      </c>
      <c r="G7" s="63">
        <v>0</v>
      </c>
      <c r="H7" s="63">
        <v>0</v>
      </c>
      <c r="I7" s="63">
        <v>0</v>
      </c>
      <c r="J7" s="64">
        <v>0</v>
      </c>
      <c r="K7" s="41"/>
      <c r="L7" s="42"/>
      <c r="M7" s="42"/>
    </row>
    <row r="8" spans="2:15" ht="14">
      <c r="B8" s="62" t="s">
        <v>27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4">
        <v>0</v>
      </c>
      <c r="K8" s="51"/>
      <c r="L8" s="51"/>
      <c r="M8" s="51"/>
    </row>
    <row r="9" spans="2:15" ht="14">
      <c r="B9" s="62" t="s">
        <v>28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4">
        <v>0</v>
      </c>
      <c r="K9" s="51"/>
      <c r="L9" s="51"/>
      <c r="M9" s="51"/>
    </row>
    <row r="10" spans="2:15" ht="16">
      <c r="B10" s="65" t="s">
        <v>29</v>
      </c>
      <c r="C10" s="66">
        <v>0</v>
      </c>
      <c r="D10" s="67">
        <v>0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8">
        <v>0</v>
      </c>
      <c r="K10" s="52"/>
      <c r="L10" s="52"/>
      <c r="M10" s="52"/>
      <c r="N10" s="52"/>
    </row>
    <row r="11" spans="2:15" ht="14">
      <c r="B11" s="62" t="s">
        <v>30</v>
      </c>
      <c r="C11" s="69">
        <v>0</v>
      </c>
      <c r="D11" s="70">
        <v>0</v>
      </c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71">
        <v>0</v>
      </c>
      <c r="K11" s="72"/>
      <c r="L11" s="72"/>
      <c r="M11" s="72"/>
      <c r="N11" s="51"/>
    </row>
    <row r="12" spans="2:15" ht="13">
      <c r="B12" s="73" t="s">
        <v>31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5">
        <v>0</v>
      </c>
    </row>
    <row r="13" spans="2:15" ht="13">
      <c r="B13" s="76" t="s">
        <v>32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8">
        <v>0</v>
      </c>
    </row>
    <row r="14" spans="2:15" ht="13">
      <c r="C14" s="79">
        <f t="shared" ref="C14:J14" si="0">SUM(C7:C13)</f>
        <v>0</v>
      </c>
      <c r="D14" s="79">
        <f t="shared" si="0"/>
        <v>0</v>
      </c>
      <c r="E14" s="79">
        <f t="shared" si="0"/>
        <v>0</v>
      </c>
      <c r="F14" s="79">
        <f t="shared" si="0"/>
        <v>0</v>
      </c>
      <c r="G14" s="79">
        <f t="shared" si="0"/>
        <v>0</v>
      </c>
      <c r="H14" s="79">
        <f t="shared" si="0"/>
        <v>0</v>
      </c>
      <c r="I14" s="79">
        <f t="shared" si="0"/>
        <v>0</v>
      </c>
      <c r="J14" s="79">
        <f t="shared" si="0"/>
        <v>0</v>
      </c>
    </row>
    <row r="15" spans="2:15" ht="28">
      <c r="B15" s="80" t="s">
        <v>53</v>
      </c>
      <c r="C15" s="81">
        <f>SUM(C14:J14)</f>
        <v>0</v>
      </c>
    </row>
    <row r="17" spans="2:10" ht="21.75" customHeight="1">
      <c r="B17" s="178" t="s">
        <v>54</v>
      </c>
      <c r="C17" s="178"/>
      <c r="D17" s="178"/>
      <c r="E17" s="178"/>
      <c r="F17" s="178"/>
      <c r="G17" s="178"/>
      <c r="H17" s="178"/>
      <c r="I17" s="178"/>
      <c r="J17" s="178"/>
    </row>
    <row r="18" spans="2:10" ht="12.75" customHeight="1">
      <c r="B18" s="82" t="s">
        <v>55</v>
      </c>
      <c r="C18" s="179" t="s">
        <v>56</v>
      </c>
      <c r="D18" s="179"/>
      <c r="E18" s="179"/>
      <c r="F18" s="180" t="s">
        <v>57</v>
      </c>
      <c r="G18" s="180"/>
      <c r="H18" s="180"/>
      <c r="I18" s="83" t="s">
        <v>58</v>
      </c>
      <c r="J18" s="84" t="s">
        <v>59</v>
      </c>
    </row>
    <row r="19" spans="2:10" ht="22.5" customHeight="1">
      <c r="B19" s="85"/>
      <c r="C19" s="181"/>
      <c r="D19" s="181"/>
      <c r="E19" s="181"/>
      <c r="F19" s="182"/>
      <c r="G19" s="182"/>
      <c r="H19" s="182"/>
      <c r="I19" s="86"/>
      <c r="J19" s="87"/>
    </row>
    <row r="20" spans="2:10" ht="24.75" customHeight="1">
      <c r="B20" s="88"/>
      <c r="C20" s="174"/>
      <c r="D20" s="174"/>
      <c r="E20" s="174"/>
      <c r="F20" s="175"/>
      <c r="G20" s="175"/>
      <c r="H20" s="175"/>
      <c r="I20" s="89"/>
      <c r="J20" s="90"/>
    </row>
    <row r="21" spans="2:10" ht="27" customHeight="1">
      <c r="B21" s="91"/>
      <c r="C21" s="92"/>
      <c r="D21" s="93"/>
      <c r="E21" s="94"/>
      <c r="F21" s="176"/>
      <c r="G21" s="176"/>
      <c r="H21" s="176"/>
      <c r="I21" s="95"/>
      <c r="J21" s="96"/>
    </row>
    <row r="23" spans="2:10" ht="23.25" customHeight="1">
      <c r="B23" s="177" t="s">
        <v>60</v>
      </c>
      <c r="C23" s="177"/>
      <c r="D23" s="177"/>
      <c r="E23" s="177"/>
      <c r="F23" s="177" t="s">
        <v>61</v>
      </c>
      <c r="G23" s="177"/>
      <c r="H23" s="177"/>
      <c r="I23" s="177"/>
      <c r="J23" s="177"/>
    </row>
    <row r="24" spans="2:10" ht="18.75" customHeight="1">
      <c r="B24" s="172" t="s">
        <v>62</v>
      </c>
      <c r="C24" s="172"/>
      <c r="D24" s="172"/>
      <c r="E24" s="172"/>
      <c r="F24" s="173" t="s">
        <v>63</v>
      </c>
      <c r="G24" s="173"/>
      <c r="H24" s="173"/>
      <c r="I24" s="173"/>
      <c r="J24" s="173"/>
    </row>
    <row r="25" spans="2:10" ht="22.5" customHeight="1">
      <c r="B25" s="169" t="s">
        <v>64</v>
      </c>
      <c r="C25" s="169"/>
      <c r="D25" s="169"/>
      <c r="E25" s="169"/>
      <c r="F25" s="170" t="s">
        <v>65</v>
      </c>
      <c r="G25" s="170"/>
      <c r="H25" s="170"/>
      <c r="I25" s="170"/>
      <c r="J25" s="170"/>
    </row>
    <row r="26" spans="2:10" ht="21" customHeight="1">
      <c r="B26" s="169" t="s">
        <v>66</v>
      </c>
      <c r="C26" s="169"/>
      <c r="D26" s="169"/>
      <c r="E26" s="169"/>
      <c r="F26" s="170" t="s">
        <v>67</v>
      </c>
      <c r="G26" s="170"/>
      <c r="H26" s="170"/>
      <c r="I26" s="170"/>
      <c r="J26" s="170"/>
    </row>
    <row r="27" spans="2:10" ht="21.75" customHeight="1">
      <c r="B27" s="169" t="s">
        <v>68</v>
      </c>
      <c r="C27" s="169"/>
      <c r="D27" s="169"/>
      <c r="E27" s="169"/>
      <c r="F27" s="170" t="s">
        <v>69</v>
      </c>
      <c r="G27" s="170"/>
      <c r="H27" s="170"/>
      <c r="I27" s="170"/>
      <c r="J27" s="170"/>
    </row>
    <row r="28" spans="2:10" ht="20.25" customHeight="1">
      <c r="B28" s="169" t="s">
        <v>70</v>
      </c>
      <c r="C28" s="169"/>
      <c r="D28" s="169"/>
      <c r="E28" s="169"/>
      <c r="F28" s="170" t="s">
        <v>71</v>
      </c>
      <c r="G28" s="170"/>
      <c r="H28" s="170"/>
      <c r="I28" s="170"/>
      <c r="J28" s="170"/>
    </row>
    <row r="29" spans="2:10" ht="24" customHeight="1">
      <c r="B29" s="169" t="s">
        <v>72</v>
      </c>
      <c r="C29" s="169"/>
      <c r="D29" s="169"/>
      <c r="E29" s="169"/>
      <c r="F29" s="170" t="s">
        <v>73</v>
      </c>
      <c r="G29" s="170"/>
      <c r="H29" s="170"/>
      <c r="I29" s="170"/>
      <c r="J29" s="170"/>
    </row>
    <row r="30" spans="2:10" ht="20.25" customHeight="1">
      <c r="B30" s="169" t="s">
        <v>74</v>
      </c>
      <c r="C30" s="169"/>
      <c r="D30" s="169"/>
      <c r="E30" s="169"/>
      <c r="F30" s="170" t="s">
        <v>75</v>
      </c>
      <c r="G30" s="170"/>
      <c r="H30" s="170"/>
      <c r="I30" s="170"/>
      <c r="J30" s="170"/>
    </row>
    <row r="31" spans="2:10" ht="19.5" customHeight="1">
      <c r="B31" s="169" t="s">
        <v>76</v>
      </c>
      <c r="C31" s="169"/>
      <c r="D31" s="169"/>
      <c r="E31" s="169"/>
      <c r="F31" s="170" t="s">
        <v>77</v>
      </c>
      <c r="G31" s="170"/>
      <c r="H31" s="170"/>
      <c r="I31" s="170"/>
      <c r="J31" s="170"/>
    </row>
    <row r="33" spans="2:10" ht="22.5" customHeight="1">
      <c r="B33" s="171" t="s">
        <v>78</v>
      </c>
      <c r="C33" s="171"/>
      <c r="D33" s="171"/>
      <c r="E33" s="171"/>
      <c r="F33" s="171"/>
      <c r="G33" s="171"/>
      <c r="H33" s="171"/>
      <c r="I33" s="171"/>
      <c r="J33" s="171"/>
    </row>
    <row r="34" spans="2:10" ht="78" customHeight="1">
      <c r="B34" s="97" t="s">
        <v>79</v>
      </c>
      <c r="C34" s="98" t="s">
        <v>80</v>
      </c>
      <c r="D34" s="98" t="s">
        <v>81</v>
      </c>
      <c r="E34" s="98" t="s">
        <v>82</v>
      </c>
      <c r="F34" s="98" t="s">
        <v>83</v>
      </c>
      <c r="G34" s="98" t="s">
        <v>84</v>
      </c>
      <c r="H34" s="98" t="s">
        <v>85</v>
      </c>
      <c r="I34" s="98" t="s">
        <v>86</v>
      </c>
      <c r="J34" s="99" t="s">
        <v>87</v>
      </c>
    </row>
    <row r="35" spans="2:10" ht="19.5" customHeight="1">
      <c r="B35" s="100" t="s">
        <v>27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2">
        <v>0</v>
      </c>
    </row>
    <row r="36" spans="2:10" ht="21" customHeight="1">
      <c r="B36" s="100" t="s">
        <v>28</v>
      </c>
      <c r="C36" s="101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2">
        <v>0</v>
      </c>
    </row>
    <row r="37" spans="2:10" ht="18" customHeight="1">
      <c r="B37" s="100" t="s">
        <v>29</v>
      </c>
      <c r="C37" s="101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2">
        <v>0</v>
      </c>
    </row>
    <row r="38" spans="2:10" ht="18" customHeight="1">
      <c r="B38" s="100" t="s">
        <v>30</v>
      </c>
      <c r="C38" s="101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2">
        <v>0</v>
      </c>
    </row>
    <row r="39" spans="2:10" ht="19.5" customHeight="1">
      <c r="B39" s="100" t="s">
        <v>31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2">
        <v>0</v>
      </c>
    </row>
    <row r="40" spans="2:10" ht="21" customHeight="1">
      <c r="B40" s="100" t="s">
        <v>32</v>
      </c>
      <c r="C40" s="101">
        <v>0</v>
      </c>
      <c r="D40" s="101">
        <v>0</v>
      </c>
      <c r="E40" s="101">
        <v>0</v>
      </c>
      <c r="F40" s="101">
        <v>0</v>
      </c>
      <c r="G40" s="101">
        <v>0</v>
      </c>
      <c r="H40" s="101">
        <v>0</v>
      </c>
      <c r="I40" s="101">
        <v>0</v>
      </c>
      <c r="J40" s="102">
        <v>0</v>
      </c>
    </row>
    <row r="41" spans="2:10" ht="19.5" customHeight="1">
      <c r="B41" s="103" t="s">
        <v>33</v>
      </c>
      <c r="C41" s="104">
        <v>0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5">
        <v>0</v>
      </c>
    </row>
    <row r="42" spans="2:10" ht="23.25" customHeight="1">
      <c r="C42" s="106">
        <f t="shared" ref="C42:J42" si="1">SUM(C35:C41)</f>
        <v>0</v>
      </c>
      <c r="D42" s="107">
        <f t="shared" si="1"/>
        <v>0</v>
      </c>
      <c r="E42" s="107">
        <f t="shared" si="1"/>
        <v>0</v>
      </c>
      <c r="F42" s="107">
        <f t="shared" si="1"/>
        <v>0</v>
      </c>
      <c r="G42" s="107">
        <f t="shared" si="1"/>
        <v>0</v>
      </c>
      <c r="H42" s="107">
        <f t="shared" si="1"/>
        <v>0</v>
      </c>
      <c r="I42" s="107">
        <f t="shared" si="1"/>
        <v>0</v>
      </c>
      <c r="J42" s="108">
        <f t="shared" si="1"/>
        <v>0</v>
      </c>
    </row>
    <row r="43" spans="2:10" ht="31.5" customHeight="1">
      <c r="I43" s="109" t="s">
        <v>88</v>
      </c>
      <c r="J43" s="110">
        <f>SUM(C42:J42)</f>
        <v>0</v>
      </c>
    </row>
    <row r="45" spans="2:10" ht="24" customHeight="1">
      <c r="B45" s="111"/>
      <c r="C45" s="161" t="s">
        <v>89</v>
      </c>
      <c r="D45" s="161"/>
      <c r="E45" s="161"/>
      <c r="F45" s="161"/>
      <c r="G45" s="161"/>
      <c r="H45" s="161"/>
      <c r="I45" s="111"/>
      <c r="J45" s="111"/>
    </row>
    <row r="46" spans="2:10" ht="56.25" customHeight="1">
      <c r="B46" s="165" t="s">
        <v>90</v>
      </c>
      <c r="C46" s="165"/>
      <c r="D46" s="165"/>
      <c r="E46" s="112"/>
      <c r="F46" s="165" t="s">
        <v>91</v>
      </c>
      <c r="G46" s="165"/>
      <c r="H46" s="165"/>
      <c r="I46" s="165"/>
      <c r="J46" s="113">
        <f>'SEMANA 1.1'!L39</f>
        <v>0</v>
      </c>
    </row>
    <row r="47" spans="2:10" ht="42" customHeight="1">
      <c r="B47" s="165" t="s">
        <v>92</v>
      </c>
      <c r="C47" s="165"/>
      <c r="D47" s="165"/>
      <c r="E47" s="114">
        <f>E46+J46</f>
        <v>0</v>
      </c>
      <c r="F47" s="165" t="s">
        <v>93</v>
      </c>
      <c r="G47" s="165"/>
      <c r="H47" s="165"/>
      <c r="I47" s="165"/>
      <c r="J47" s="115">
        <f>'SEMANA 1.1'!G39</f>
        <v>0</v>
      </c>
    </row>
    <row r="48" spans="2:10" ht="47.25" customHeight="1">
      <c r="B48" s="165" t="s">
        <v>94</v>
      </c>
      <c r="C48" s="165"/>
      <c r="D48" s="165"/>
      <c r="E48" s="116">
        <v>0</v>
      </c>
      <c r="F48" s="165" t="s">
        <v>95</v>
      </c>
      <c r="G48" s="165"/>
      <c r="H48" s="165"/>
      <c r="I48" s="165"/>
      <c r="J48" s="115">
        <f>((J47*5)/60)*6</f>
        <v>0</v>
      </c>
    </row>
    <row r="49" spans="2:10" ht="32.25" customHeight="1">
      <c r="B49" s="165" t="s">
        <v>96</v>
      </c>
      <c r="C49" s="165"/>
      <c r="D49" s="165"/>
      <c r="E49" s="116">
        <v>0</v>
      </c>
      <c r="F49" s="165" t="s">
        <v>97</v>
      </c>
      <c r="G49" s="165"/>
      <c r="H49" s="165"/>
      <c r="I49" s="165"/>
      <c r="J49" s="117">
        <v>0</v>
      </c>
    </row>
    <row r="50" spans="2:10" ht="40.5" customHeight="1">
      <c r="B50" s="166" t="s">
        <v>98</v>
      </c>
      <c r="C50" s="166"/>
      <c r="D50" s="118">
        <v>0</v>
      </c>
      <c r="E50" s="119" t="s">
        <v>99</v>
      </c>
      <c r="F50" s="166" t="s">
        <v>100</v>
      </c>
      <c r="G50" s="166"/>
      <c r="H50" s="120">
        <v>0</v>
      </c>
      <c r="I50" s="167" t="s">
        <v>99</v>
      </c>
      <c r="J50" s="167"/>
    </row>
    <row r="51" spans="2:10" ht="30.75" customHeight="1">
      <c r="B51" s="166"/>
      <c r="C51" s="166"/>
      <c r="D51" s="118">
        <v>0</v>
      </c>
      <c r="E51" s="121" t="s">
        <v>101</v>
      </c>
      <c r="F51" s="166"/>
      <c r="G51" s="166"/>
      <c r="H51" s="120">
        <v>0</v>
      </c>
      <c r="I51" s="168" t="s">
        <v>102</v>
      </c>
      <c r="J51" s="168"/>
    </row>
    <row r="54" spans="2:10" ht="27.75" customHeight="1">
      <c r="B54" s="161" t="s">
        <v>103</v>
      </c>
      <c r="C54" s="161"/>
      <c r="D54" s="161"/>
      <c r="E54" s="161"/>
      <c r="F54" s="161"/>
      <c r="G54" s="161"/>
      <c r="H54" s="161"/>
      <c r="I54" s="161"/>
      <c r="J54" s="161"/>
    </row>
    <row r="57" spans="2:10" ht="14.25" customHeight="1">
      <c r="B57" s="14"/>
      <c r="C57" s="14"/>
      <c r="D57" s="14"/>
      <c r="E57" s="14"/>
      <c r="F57" s="14"/>
      <c r="G57" s="14"/>
      <c r="H57" s="14"/>
      <c r="I57" s="14"/>
      <c r="J57" s="14"/>
    </row>
    <row r="59" spans="2:10" ht="14.25" customHeight="1">
      <c r="B59" s="14"/>
      <c r="C59" s="14"/>
      <c r="D59" s="14"/>
      <c r="E59" s="14"/>
      <c r="F59" s="14"/>
      <c r="G59" s="14"/>
      <c r="H59" s="14"/>
      <c r="I59" s="14"/>
      <c r="J59" s="14"/>
    </row>
    <row r="61" spans="2:10" ht="14.25" customHeight="1">
      <c r="B61" s="14"/>
      <c r="C61" s="14"/>
      <c r="D61" s="14"/>
      <c r="E61" s="14"/>
      <c r="F61" s="14"/>
      <c r="G61" s="14"/>
      <c r="H61" s="14"/>
      <c r="I61" s="14"/>
      <c r="J61" s="14"/>
    </row>
    <row r="63" spans="2:10" ht="14.25" customHeight="1">
      <c r="B63" s="14"/>
      <c r="C63" s="14"/>
      <c r="D63" s="14"/>
      <c r="E63" s="14"/>
      <c r="F63" s="14"/>
      <c r="G63" s="14"/>
      <c r="H63" s="14"/>
      <c r="I63" s="14"/>
      <c r="J63" s="14"/>
    </row>
    <row r="65" spans="2:10" ht="14.25" customHeight="1">
      <c r="B65" s="14"/>
      <c r="C65" s="14"/>
      <c r="D65" s="14"/>
      <c r="E65" s="14"/>
      <c r="F65" s="14"/>
      <c r="G65" s="14"/>
      <c r="H65" s="14"/>
      <c r="I65" s="14"/>
      <c r="J65" s="14"/>
    </row>
    <row r="67" spans="2:10" ht="14.25" customHeight="1">
      <c r="B67" s="14"/>
      <c r="C67" s="14"/>
      <c r="D67" s="14"/>
      <c r="E67" s="14"/>
      <c r="F67" s="14"/>
      <c r="G67" s="14"/>
      <c r="H67" s="14"/>
      <c r="I67" s="14"/>
      <c r="J67" s="14"/>
    </row>
    <row r="69" spans="2:10" ht="14.25" customHeight="1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32" customHeight="1"/>
    <row r="71" spans="2:10" ht="14.25" customHeight="1">
      <c r="B71" s="183"/>
      <c r="C71" s="183"/>
      <c r="D71" s="183"/>
      <c r="E71" s="183"/>
      <c r="F71" s="183"/>
      <c r="G71" s="183"/>
      <c r="H71" s="183"/>
      <c r="I71" s="183"/>
      <c r="J71" s="183"/>
    </row>
    <row r="73" spans="2:10" ht="14.25" customHeight="1">
      <c r="B73" s="14"/>
      <c r="C73" s="14"/>
      <c r="D73" s="14"/>
      <c r="E73" s="14"/>
      <c r="F73" s="14"/>
      <c r="G73" s="14"/>
      <c r="H73" s="14"/>
      <c r="I73" s="14"/>
      <c r="J73" s="14"/>
    </row>
    <row r="75" spans="2:10" ht="14.25" customHeight="1">
      <c r="B75" s="14"/>
      <c r="C75" s="14"/>
      <c r="D75" s="14"/>
      <c r="E75" s="14"/>
      <c r="F75" s="14"/>
      <c r="G75" s="14"/>
      <c r="H75" s="14"/>
      <c r="I75" s="14"/>
      <c r="J75" s="14"/>
    </row>
    <row r="78" spans="2:10" ht="14.25" customHeight="1">
      <c r="B78" s="14"/>
      <c r="C78" s="14"/>
      <c r="D78" s="14"/>
      <c r="E78" s="14"/>
      <c r="F78" s="14"/>
      <c r="G78" s="14"/>
      <c r="H78" s="14"/>
      <c r="I78" s="14"/>
      <c r="J78" s="14"/>
    </row>
    <row r="80" spans="2:10" ht="14.25" customHeight="1">
      <c r="B80" s="14"/>
      <c r="C80" s="14"/>
      <c r="D80" s="14"/>
      <c r="E80" s="14"/>
      <c r="F80" s="14"/>
      <c r="G80" s="14"/>
      <c r="H80" s="14"/>
      <c r="I80" s="14"/>
      <c r="J80" s="14"/>
    </row>
    <row r="82" spans="2:10" ht="14.25" customHeight="1">
      <c r="B82" s="14"/>
      <c r="C82" s="14"/>
      <c r="D82" s="14"/>
      <c r="E82" s="14"/>
      <c r="F82" s="14"/>
      <c r="G82" s="14"/>
      <c r="H82" s="14"/>
      <c r="I82" s="14"/>
      <c r="J82" s="14"/>
    </row>
    <row r="83" spans="2:10" ht="14.25" customHeight="1">
      <c r="B83" s="14"/>
      <c r="C83" s="14"/>
      <c r="D83" s="14"/>
      <c r="E83" s="14"/>
      <c r="F83" s="14"/>
      <c r="G83" s="14"/>
      <c r="H83" s="14"/>
      <c r="I83" s="14"/>
      <c r="J83" s="14"/>
    </row>
    <row r="85" spans="2:10" ht="14.25" customHeight="1">
      <c r="B85" s="14"/>
      <c r="C85" s="14"/>
      <c r="D85" s="14"/>
      <c r="E85" s="14"/>
      <c r="F85" s="14"/>
      <c r="G85" s="14"/>
      <c r="H85" s="14"/>
      <c r="I85" s="14"/>
      <c r="J85" s="14"/>
    </row>
    <row r="88" spans="2:10" ht="34" customHeight="1">
      <c r="B88" s="14"/>
      <c r="C88" s="14"/>
      <c r="D88" s="14"/>
      <c r="E88" s="14"/>
      <c r="F88" s="14"/>
      <c r="G88" s="14"/>
      <c r="H88" s="14"/>
      <c r="I88" s="14"/>
      <c r="J88" s="14"/>
    </row>
    <row r="89" spans="2:10" ht="12.75" customHeight="1">
      <c r="B89" s="184"/>
      <c r="C89" s="184"/>
      <c r="D89" s="184"/>
      <c r="E89" s="184"/>
      <c r="F89" s="184"/>
      <c r="G89" s="184"/>
      <c r="H89" s="184"/>
      <c r="I89" s="184"/>
      <c r="J89" s="184"/>
    </row>
    <row r="90" spans="2:10" ht="14.25" customHeight="1">
      <c r="B90" s="14"/>
      <c r="C90" s="14"/>
      <c r="D90" s="14"/>
      <c r="E90" s="14"/>
      <c r="F90" s="14"/>
      <c r="G90" s="14"/>
      <c r="H90" s="14"/>
      <c r="I90" s="14"/>
      <c r="J90" s="14"/>
    </row>
    <row r="92" spans="2:10" ht="14.25" customHeight="1">
      <c r="B92" s="14"/>
      <c r="C92" s="14"/>
      <c r="D92" s="14"/>
      <c r="E92" s="14"/>
      <c r="F92" s="14"/>
      <c r="G92" s="14"/>
      <c r="H92" s="14"/>
      <c r="I92" s="14"/>
      <c r="J92" s="14"/>
    </row>
    <row r="93" spans="2:10" ht="13">
      <c r="B93" s="162"/>
      <c r="C93" s="163"/>
      <c r="D93" s="163"/>
      <c r="E93" s="162"/>
      <c r="F93" s="162"/>
      <c r="G93" s="162"/>
      <c r="H93" s="162"/>
      <c r="I93" s="164"/>
      <c r="J93" s="164"/>
    </row>
    <row r="94" spans="2:10" ht="34.5" customHeight="1">
      <c r="B94" s="162"/>
      <c r="C94" s="163"/>
      <c r="D94" s="163"/>
      <c r="E94" s="162"/>
      <c r="F94" s="162"/>
      <c r="G94" s="162"/>
      <c r="H94" s="162"/>
      <c r="I94" s="164"/>
      <c r="J94" s="164"/>
    </row>
    <row r="95" spans="2:10" ht="39.25" customHeight="1">
      <c r="B95" s="8"/>
      <c r="C95" s="155"/>
      <c r="D95" s="155"/>
      <c r="E95" s="133" t="s">
        <v>104</v>
      </c>
      <c r="F95" s="133"/>
      <c r="G95" s="156" t="s">
        <v>105</v>
      </c>
      <c r="H95" s="156"/>
      <c r="I95" s="157"/>
      <c r="J95" s="157"/>
    </row>
    <row r="96" spans="2:10" ht="26.5" customHeight="1">
      <c r="B96" s="122" t="s">
        <v>106</v>
      </c>
      <c r="C96" s="158" t="s">
        <v>107</v>
      </c>
      <c r="D96" s="158"/>
      <c r="E96" s="159" t="s">
        <v>108</v>
      </c>
      <c r="F96" s="159"/>
      <c r="G96" s="159" t="s">
        <v>22</v>
      </c>
      <c r="H96" s="159"/>
      <c r="I96" s="160"/>
      <c r="J96" s="160"/>
    </row>
    <row r="99" spans="2:8" ht="12.75" customHeight="1">
      <c r="B99" s="154"/>
      <c r="C99" s="154"/>
      <c r="D99" s="154"/>
      <c r="E99" s="154"/>
      <c r="F99" s="154"/>
      <c r="G99" s="154"/>
      <c r="H99" s="154"/>
    </row>
    <row r="100" spans="2:8" ht="13">
      <c r="B100" s="154"/>
      <c r="C100" s="154"/>
      <c r="D100" s="154"/>
      <c r="E100" s="154"/>
      <c r="F100" s="154"/>
      <c r="G100" s="154"/>
      <c r="H100" s="154"/>
    </row>
    <row r="101" spans="2:8" ht="13">
      <c r="B101" s="154"/>
      <c r="C101" s="154"/>
      <c r="D101" s="154"/>
      <c r="E101" s="154"/>
      <c r="F101" s="154"/>
      <c r="G101" s="154"/>
      <c r="H101" s="154"/>
    </row>
    <row r="102" spans="2:8" ht="13">
      <c r="B102" s="154"/>
      <c r="C102" s="154"/>
      <c r="D102" s="154"/>
      <c r="E102" s="154"/>
      <c r="F102" s="154"/>
      <c r="G102" s="154"/>
      <c r="H102" s="154"/>
    </row>
    <row r="103" spans="2:8" ht="13">
      <c r="B103" s="154"/>
      <c r="C103" s="154"/>
      <c r="D103" s="154"/>
      <c r="E103" s="154"/>
      <c r="F103" s="154"/>
      <c r="G103" s="154"/>
      <c r="H103" s="154"/>
    </row>
    <row r="104" spans="2:8" ht="13">
      <c r="B104" s="154"/>
      <c r="C104" s="154"/>
      <c r="D104" s="154"/>
      <c r="E104" s="154"/>
      <c r="F104" s="154"/>
      <c r="G104" s="154"/>
      <c r="H104" s="154"/>
    </row>
    <row r="105" spans="2:8" ht="13">
      <c r="B105" s="154"/>
      <c r="C105" s="154"/>
      <c r="D105" s="154"/>
      <c r="E105" s="154"/>
      <c r="F105" s="154"/>
      <c r="G105" s="154"/>
      <c r="H105" s="154"/>
    </row>
  </sheetData>
  <mergeCells count="56">
    <mergeCell ref="B4:J4"/>
    <mergeCell ref="B17:J17"/>
    <mergeCell ref="C18:E18"/>
    <mergeCell ref="F18:H18"/>
    <mergeCell ref="C19:E19"/>
    <mergeCell ref="F19:H19"/>
    <mergeCell ref="C20:E20"/>
    <mergeCell ref="F20:H20"/>
    <mergeCell ref="F21:H21"/>
    <mergeCell ref="B23:E23"/>
    <mergeCell ref="F23:J23"/>
    <mergeCell ref="B24:E24"/>
    <mergeCell ref="F24:J24"/>
    <mergeCell ref="B25:E25"/>
    <mergeCell ref="F25:J25"/>
    <mergeCell ref="B26:E26"/>
    <mergeCell ref="F26:J26"/>
    <mergeCell ref="B27:E27"/>
    <mergeCell ref="F27:J27"/>
    <mergeCell ref="B28:E28"/>
    <mergeCell ref="F28:J28"/>
    <mergeCell ref="B29:E29"/>
    <mergeCell ref="F29:J29"/>
    <mergeCell ref="B30:E30"/>
    <mergeCell ref="F30:J30"/>
    <mergeCell ref="B31:E31"/>
    <mergeCell ref="F31:J31"/>
    <mergeCell ref="B33:J33"/>
    <mergeCell ref="C45:H45"/>
    <mergeCell ref="B46:D46"/>
    <mergeCell ref="F46:I46"/>
    <mergeCell ref="B47:D47"/>
    <mergeCell ref="F47:I47"/>
    <mergeCell ref="B48:D48"/>
    <mergeCell ref="F48:I48"/>
    <mergeCell ref="B49:D49"/>
    <mergeCell ref="F49:I49"/>
    <mergeCell ref="B50:C51"/>
    <mergeCell ref="F50:G51"/>
    <mergeCell ref="I50:J50"/>
    <mergeCell ref="I51:J51"/>
    <mergeCell ref="B54:J54"/>
    <mergeCell ref="B93:B94"/>
    <mergeCell ref="C93:D94"/>
    <mergeCell ref="E93:F94"/>
    <mergeCell ref="G93:H94"/>
    <mergeCell ref="I93:J94"/>
    <mergeCell ref="B99:H105"/>
    <mergeCell ref="C95:D95"/>
    <mergeCell ref="E95:F95"/>
    <mergeCell ref="G95:H95"/>
    <mergeCell ref="I95:J95"/>
    <mergeCell ref="C96:D96"/>
    <mergeCell ref="E96:F96"/>
    <mergeCell ref="G96:H96"/>
    <mergeCell ref="I96:J96"/>
  </mergeCells>
  <printOptions horizontalCentered="1"/>
  <pageMargins left="0.59027777777777801" right="0.59027777777777801" top="0.74791666666666701" bottom="0.35416666666666702" header="0.511811023622047" footer="0.511811023622047"/>
  <pageSetup paperSize="9" scale="82" fitToHeight="0" orientation="landscape" horizontalDpi="300" verticalDpi="300"/>
  <rowBreaks count="3" manualBreakCount="3">
    <brk id="32" max="16383" man="1"/>
    <brk id="52" max="16383" man="1"/>
    <brk id="9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2017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SEMANA 1</vt:lpstr>
      <vt:lpstr>SEMANA 1.1</vt:lpstr>
      <vt:lpstr>SEMANA 1.2</vt:lpstr>
      <vt:lpstr>'SEMANA 1'!Área_de_impresión</vt:lpstr>
      <vt:lpstr>'SEMANA 1.1'!Área_de_impresión</vt:lpstr>
      <vt:lpstr>'SEMANA 1.2'!Área_de_impresión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dc:description/>
  <cp:lastModifiedBy>Omar Ventura</cp:lastModifiedBy>
  <cp:revision>85</cp:revision>
  <cp:lastPrinted>2026-03-31T13:09:52Z</cp:lastPrinted>
  <dcterms:created xsi:type="dcterms:W3CDTF">2024-06-29T16:11:09Z</dcterms:created>
  <dcterms:modified xsi:type="dcterms:W3CDTF">2026-04-02T19:35:43Z</dcterms:modified>
  <dc:language>es-MX</dc:language>
</cp:coreProperties>
</file>